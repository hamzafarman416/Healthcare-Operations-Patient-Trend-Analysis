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farman khatak\Documents\"/>
    </mc:Choice>
  </mc:AlternateContent>
  <xr:revisionPtr revIDLastSave="0" documentId="8_{09E8FDE1-ED18-4E0D-A85E-6A924533E1A3}" xr6:coauthVersionLast="36" xr6:coauthVersionMax="36" xr10:uidLastSave="{00000000-0000-0000-0000-000000000000}"/>
  <bookViews>
    <workbookView xWindow="0" yWindow="0" windowWidth="28800" windowHeight="16695" xr2:uid="{21209393-CA4D-4D01-BDA6-52F813A9890D}"/>
  </bookViews>
  <sheets>
    <sheet name="Healthcare_Analysis" sheetId="1" r:id="rId1"/>
    <sheet name="Sheet2" sheetId="2" r:id="rId2"/>
    <sheet name="Sheet3" sheetId="3" r:id="rId3"/>
    <sheet name="Sheet3 (2)" sheetId="4" r:id="rId4"/>
    <sheet name="Sheet3 (3)" sheetId="5" r:id="rId5"/>
    <sheet name="Sheet3 (4)" sheetId="6" r:id="rId6"/>
  </sheets>
  <definedNames>
    <definedName name="ExternalData_1" localSheetId="1" hidden="1">Sheet2!$A$1:$I$521</definedName>
    <definedName name="NativeTimeline_Visit_Date">#N/A</definedName>
    <definedName name="Slicer_Disease">#N/A</definedName>
    <definedName name="Slicer_Hospital">#N/A</definedName>
  </definedNames>
  <calcPr calcId="191029"/>
  <pivotCaches>
    <pivotCache cacheId="8"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3" i="2" l="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B5B629A-0CA9-4C4E-93C3-807B3E17797C}" keepAlive="1" name="Query - healthcare_data_520_rows" description="Connection to the 'healthcare_data_520_rows' query in the workbook." type="5" refreshedVersion="6" background="1" saveData="1">
    <dbPr connection="Provider=Microsoft.Mashup.OleDb.1;Data Source=$Workbook$;Location=healthcare_data_520_rows;Extended Properties=&quot;&quot;" command="SELECT * FROM [healthcare_data_520_rows]"/>
  </connection>
</connections>
</file>

<file path=xl/sharedStrings.xml><?xml version="1.0" encoding="utf-8"?>
<sst xmlns="http://schemas.openxmlformats.org/spreadsheetml/2006/main" count="3162" uniqueCount="564">
  <si>
    <t>Patient_ID</t>
  </si>
  <si>
    <t>Visit_Date</t>
  </si>
  <si>
    <t>Age</t>
  </si>
  <si>
    <t>Gender</t>
  </si>
  <si>
    <t>Disease</t>
  </si>
  <si>
    <t>Doctor</t>
  </si>
  <si>
    <t>Hospital</t>
  </si>
  <si>
    <t>Treatment_Cost</t>
  </si>
  <si>
    <t>Insurance</t>
  </si>
  <si>
    <t>P0001</t>
  </si>
  <si>
    <t>Male</t>
  </si>
  <si>
    <t>Diabetes</t>
  </si>
  <si>
    <t>Dr. Emma</t>
  </si>
  <si>
    <t>National Hospital</t>
  </si>
  <si>
    <t>No</t>
  </si>
  <si>
    <t>P0002</t>
  </si>
  <si>
    <t>Female</t>
  </si>
  <si>
    <t>Hypertension</t>
  </si>
  <si>
    <t>Dr. David</t>
  </si>
  <si>
    <t>City Hospital</t>
  </si>
  <si>
    <t>Yes</t>
  </si>
  <si>
    <t>P0003</t>
  </si>
  <si>
    <t>Infection</t>
  </si>
  <si>
    <t>Dr. Sara</t>
  </si>
  <si>
    <t>P0004</t>
  </si>
  <si>
    <t>Dr. Maria</t>
  </si>
  <si>
    <t>Care Clinic</t>
  </si>
  <si>
    <t>P0005</t>
  </si>
  <si>
    <t>Asthma</t>
  </si>
  <si>
    <t>P0006</t>
  </si>
  <si>
    <t>Flu</t>
  </si>
  <si>
    <t>Dr. John</t>
  </si>
  <si>
    <t>P0007</t>
  </si>
  <si>
    <t>Arthritis</t>
  </si>
  <si>
    <t>Dr. Ahmed</t>
  </si>
  <si>
    <t>P0008</t>
  </si>
  <si>
    <t>Migraine</t>
  </si>
  <si>
    <t>P0009</t>
  </si>
  <si>
    <t>P0010</t>
  </si>
  <si>
    <t>P0011</t>
  </si>
  <si>
    <t>Health Plus</t>
  </si>
  <si>
    <t>P0012</t>
  </si>
  <si>
    <t>P0013</t>
  </si>
  <si>
    <t>P0014</t>
  </si>
  <si>
    <t>P0015</t>
  </si>
  <si>
    <t>P0016</t>
  </si>
  <si>
    <t>P0017</t>
  </si>
  <si>
    <t>P0018</t>
  </si>
  <si>
    <t>P0019</t>
  </si>
  <si>
    <t>P0020</t>
  </si>
  <si>
    <t>Dr. Ali</t>
  </si>
  <si>
    <t>P0021</t>
  </si>
  <si>
    <t>Heart Disease</t>
  </si>
  <si>
    <t>P0022</t>
  </si>
  <si>
    <t>P0023</t>
  </si>
  <si>
    <t>P0024</t>
  </si>
  <si>
    <t>P0025</t>
  </si>
  <si>
    <t>P0026</t>
  </si>
  <si>
    <t>P0027</t>
  </si>
  <si>
    <t>P0028</t>
  </si>
  <si>
    <t>P0029</t>
  </si>
  <si>
    <t>P0030</t>
  </si>
  <si>
    <t>P0031</t>
  </si>
  <si>
    <t>P0032</t>
  </si>
  <si>
    <t>P0033</t>
  </si>
  <si>
    <t>P0034</t>
  </si>
  <si>
    <t>P0035</t>
  </si>
  <si>
    <t>P0036</t>
  </si>
  <si>
    <t>P0037</t>
  </si>
  <si>
    <t>P0038</t>
  </si>
  <si>
    <t>P0039</t>
  </si>
  <si>
    <t>P0040</t>
  </si>
  <si>
    <t>P0041</t>
  </si>
  <si>
    <t>P0042</t>
  </si>
  <si>
    <t>P0043</t>
  </si>
  <si>
    <t>P0044</t>
  </si>
  <si>
    <t>P0045</t>
  </si>
  <si>
    <t>P0046</t>
  </si>
  <si>
    <t>P0047</t>
  </si>
  <si>
    <t>P0048</t>
  </si>
  <si>
    <t>P0049</t>
  </si>
  <si>
    <t>P0050</t>
  </si>
  <si>
    <t>P0051</t>
  </si>
  <si>
    <t>P0052</t>
  </si>
  <si>
    <t>P0053</t>
  </si>
  <si>
    <t>P0054</t>
  </si>
  <si>
    <t>P0055</t>
  </si>
  <si>
    <t>P0056</t>
  </si>
  <si>
    <t>P0057</t>
  </si>
  <si>
    <t>P0058</t>
  </si>
  <si>
    <t>P0059</t>
  </si>
  <si>
    <t>P0060</t>
  </si>
  <si>
    <t>P0061</t>
  </si>
  <si>
    <t>P0062</t>
  </si>
  <si>
    <t>P0063</t>
  </si>
  <si>
    <t>P0064</t>
  </si>
  <si>
    <t>P0065</t>
  </si>
  <si>
    <t>P0066</t>
  </si>
  <si>
    <t>P0067</t>
  </si>
  <si>
    <t>P0068</t>
  </si>
  <si>
    <t>P0069</t>
  </si>
  <si>
    <t>P0070</t>
  </si>
  <si>
    <t>P0071</t>
  </si>
  <si>
    <t>P0072</t>
  </si>
  <si>
    <t>P0073</t>
  </si>
  <si>
    <t>P0074</t>
  </si>
  <si>
    <t>P0075</t>
  </si>
  <si>
    <t>P0076</t>
  </si>
  <si>
    <t>P0077</t>
  </si>
  <si>
    <t>P0078</t>
  </si>
  <si>
    <t>P0079</t>
  </si>
  <si>
    <t>P0080</t>
  </si>
  <si>
    <t>P0081</t>
  </si>
  <si>
    <t>P0082</t>
  </si>
  <si>
    <t>P0083</t>
  </si>
  <si>
    <t>P0084</t>
  </si>
  <si>
    <t>P0085</t>
  </si>
  <si>
    <t>P0086</t>
  </si>
  <si>
    <t>P0087</t>
  </si>
  <si>
    <t>P0088</t>
  </si>
  <si>
    <t>P0089</t>
  </si>
  <si>
    <t>P0090</t>
  </si>
  <si>
    <t>P0091</t>
  </si>
  <si>
    <t>P0092</t>
  </si>
  <si>
    <t>P0093</t>
  </si>
  <si>
    <t>P0094</t>
  </si>
  <si>
    <t>P0095</t>
  </si>
  <si>
    <t>P0096</t>
  </si>
  <si>
    <t>P0097</t>
  </si>
  <si>
    <t>P0098</t>
  </si>
  <si>
    <t>P0099</t>
  </si>
  <si>
    <t>P0100</t>
  </si>
  <si>
    <t>P0101</t>
  </si>
  <si>
    <t>P0102</t>
  </si>
  <si>
    <t>P0103</t>
  </si>
  <si>
    <t>P0104</t>
  </si>
  <si>
    <t>P0105</t>
  </si>
  <si>
    <t>P0106</t>
  </si>
  <si>
    <t>P0107</t>
  </si>
  <si>
    <t>P0108</t>
  </si>
  <si>
    <t>P0109</t>
  </si>
  <si>
    <t>P0110</t>
  </si>
  <si>
    <t>P0111</t>
  </si>
  <si>
    <t>P0112</t>
  </si>
  <si>
    <t>P0113</t>
  </si>
  <si>
    <t>P0114</t>
  </si>
  <si>
    <t>P0115</t>
  </si>
  <si>
    <t>P0116</t>
  </si>
  <si>
    <t>P0117</t>
  </si>
  <si>
    <t>P0118</t>
  </si>
  <si>
    <t>P0119</t>
  </si>
  <si>
    <t>P0120</t>
  </si>
  <si>
    <t>P0121</t>
  </si>
  <si>
    <t>P0122</t>
  </si>
  <si>
    <t>P0123</t>
  </si>
  <si>
    <t>P0124</t>
  </si>
  <si>
    <t>P0125</t>
  </si>
  <si>
    <t>P0126</t>
  </si>
  <si>
    <t>P0127</t>
  </si>
  <si>
    <t>P0128</t>
  </si>
  <si>
    <t>P0129</t>
  </si>
  <si>
    <t>P0130</t>
  </si>
  <si>
    <t>P0131</t>
  </si>
  <si>
    <t>P0132</t>
  </si>
  <si>
    <t>P0133</t>
  </si>
  <si>
    <t>P0134</t>
  </si>
  <si>
    <t>P0135</t>
  </si>
  <si>
    <t>P0136</t>
  </si>
  <si>
    <t>P0137</t>
  </si>
  <si>
    <t>P0138</t>
  </si>
  <si>
    <t>P0139</t>
  </si>
  <si>
    <t>P0140</t>
  </si>
  <si>
    <t>P0141</t>
  </si>
  <si>
    <t>P0142</t>
  </si>
  <si>
    <t>P0143</t>
  </si>
  <si>
    <t>P0144</t>
  </si>
  <si>
    <t>P0145</t>
  </si>
  <si>
    <t>P0146</t>
  </si>
  <si>
    <t>P0147</t>
  </si>
  <si>
    <t>P0148</t>
  </si>
  <si>
    <t>P0149</t>
  </si>
  <si>
    <t>P0150</t>
  </si>
  <si>
    <t>P0151</t>
  </si>
  <si>
    <t>P0152</t>
  </si>
  <si>
    <t>P0153</t>
  </si>
  <si>
    <t>P0154</t>
  </si>
  <si>
    <t>P0155</t>
  </si>
  <si>
    <t>P0156</t>
  </si>
  <si>
    <t>P0157</t>
  </si>
  <si>
    <t>P0158</t>
  </si>
  <si>
    <t>P0159</t>
  </si>
  <si>
    <t>P0160</t>
  </si>
  <si>
    <t>P0161</t>
  </si>
  <si>
    <t>P0162</t>
  </si>
  <si>
    <t>P0163</t>
  </si>
  <si>
    <t>P0164</t>
  </si>
  <si>
    <t>P0165</t>
  </si>
  <si>
    <t>P0166</t>
  </si>
  <si>
    <t>P0167</t>
  </si>
  <si>
    <t>P0168</t>
  </si>
  <si>
    <t>P0169</t>
  </si>
  <si>
    <t>P0170</t>
  </si>
  <si>
    <t>P0171</t>
  </si>
  <si>
    <t>P0172</t>
  </si>
  <si>
    <t>P0173</t>
  </si>
  <si>
    <t>P0174</t>
  </si>
  <si>
    <t>P0175</t>
  </si>
  <si>
    <t>P0176</t>
  </si>
  <si>
    <t>P0177</t>
  </si>
  <si>
    <t>P0178</t>
  </si>
  <si>
    <t>P0179</t>
  </si>
  <si>
    <t>P0180</t>
  </si>
  <si>
    <t>P0181</t>
  </si>
  <si>
    <t>P0182</t>
  </si>
  <si>
    <t>P0183</t>
  </si>
  <si>
    <t>P0184</t>
  </si>
  <si>
    <t>P0185</t>
  </si>
  <si>
    <t>P0186</t>
  </si>
  <si>
    <t>P0187</t>
  </si>
  <si>
    <t>P0188</t>
  </si>
  <si>
    <t>P0189</t>
  </si>
  <si>
    <t>P0190</t>
  </si>
  <si>
    <t>P0191</t>
  </si>
  <si>
    <t>P0192</t>
  </si>
  <si>
    <t>P0193</t>
  </si>
  <si>
    <t>P0194</t>
  </si>
  <si>
    <t>P0195</t>
  </si>
  <si>
    <t>P0196</t>
  </si>
  <si>
    <t>P0197</t>
  </si>
  <si>
    <t>P0198</t>
  </si>
  <si>
    <t>P0199</t>
  </si>
  <si>
    <t>P0200</t>
  </si>
  <si>
    <t>P0201</t>
  </si>
  <si>
    <t>P0202</t>
  </si>
  <si>
    <t>P0203</t>
  </si>
  <si>
    <t>P0204</t>
  </si>
  <si>
    <t>P0205</t>
  </si>
  <si>
    <t>P0206</t>
  </si>
  <si>
    <t>P0207</t>
  </si>
  <si>
    <t>P0208</t>
  </si>
  <si>
    <t>P0209</t>
  </si>
  <si>
    <t>P0210</t>
  </si>
  <si>
    <t>P0211</t>
  </si>
  <si>
    <t>P0212</t>
  </si>
  <si>
    <t>P0213</t>
  </si>
  <si>
    <t>P0214</t>
  </si>
  <si>
    <t>P0215</t>
  </si>
  <si>
    <t>P0216</t>
  </si>
  <si>
    <t>P0217</t>
  </si>
  <si>
    <t>P0218</t>
  </si>
  <si>
    <t>P0219</t>
  </si>
  <si>
    <t>P0220</t>
  </si>
  <si>
    <t>P0221</t>
  </si>
  <si>
    <t>P0222</t>
  </si>
  <si>
    <t>P0223</t>
  </si>
  <si>
    <t>P0224</t>
  </si>
  <si>
    <t>P0225</t>
  </si>
  <si>
    <t>P0226</t>
  </si>
  <si>
    <t>P0227</t>
  </si>
  <si>
    <t>P0228</t>
  </si>
  <si>
    <t>P0229</t>
  </si>
  <si>
    <t>P0230</t>
  </si>
  <si>
    <t>P0231</t>
  </si>
  <si>
    <t>P0232</t>
  </si>
  <si>
    <t>P0233</t>
  </si>
  <si>
    <t>P0234</t>
  </si>
  <si>
    <t>P0235</t>
  </si>
  <si>
    <t>P0236</t>
  </si>
  <si>
    <t>P0237</t>
  </si>
  <si>
    <t>P0238</t>
  </si>
  <si>
    <t>P0239</t>
  </si>
  <si>
    <t>P0240</t>
  </si>
  <si>
    <t>P0241</t>
  </si>
  <si>
    <t>P0242</t>
  </si>
  <si>
    <t>P0243</t>
  </si>
  <si>
    <t>P0244</t>
  </si>
  <si>
    <t>P0245</t>
  </si>
  <si>
    <t>P0246</t>
  </si>
  <si>
    <t>P0247</t>
  </si>
  <si>
    <t>P0248</t>
  </si>
  <si>
    <t>P0249</t>
  </si>
  <si>
    <t>P0250</t>
  </si>
  <si>
    <t>P0251</t>
  </si>
  <si>
    <t>P0252</t>
  </si>
  <si>
    <t>P0253</t>
  </si>
  <si>
    <t>P0254</t>
  </si>
  <si>
    <t>P0255</t>
  </si>
  <si>
    <t>P0256</t>
  </si>
  <si>
    <t>P0257</t>
  </si>
  <si>
    <t>P0258</t>
  </si>
  <si>
    <t>P0259</t>
  </si>
  <si>
    <t>P0260</t>
  </si>
  <si>
    <t>P0261</t>
  </si>
  <si>
    <t>P0262</t>
  </si>
  <si>
    <t>P0263</t>
  </si>
  <si>
    <t>P0264</t>
  </si>
  <si>
    <t>P0265</t>
  </si>
  <si>
    <t>P0266</t>
  </si>
  <si>
    <t>P0267</t>
  </si>
  <si>
    <t>P0268</t>
  </si>
  <si>
    <t>P0269</t>
  </si>
  <si>
    <t>P0270</t>
  </si>
  <si>
    <t>P0271</t>
  </si>
  <si>
    <t>P0272</t>
  </si>
  <si>
    <t>P0273</t>
  </si>
  <si>
    <t>P0274</t>
  </si>
  <si>
    <t>P0275</t>
  </si>
  <si>
    <t>P0276</t>
  </si>
  <si>
    <t>P0277</t>
  </si>
  <si>
    <t>P0278</t>
  </si>
  <si>
    <t>P0279</t>
  </si>
  <si>
    <t>P0280</t>
  </si>
  <si>
    <t>P0281</t>
  </si>
  <si>
    <t>P0282</t>
  </si>
  <si>
    <t>P0283</t>
  </si>
  <si>
    <t>P0284</t>
  </si>
  <si>
    <t>P0285</t>
  </si>
  <si>
    <t>P0286</t>
  </si>
  <si>
    <t>P0287</t>
  </si>
  <si>
    <t>P0288</t>
  </si>
  <si>
    <t>P0289</t>
  </si>
  <si>
    <t>P0290</t>
  </si>
  <si>
    <t>P0291</t>
  </si>
  <si>
    <t>P0292</t>
  </si>
  <si>
    <t>P0293</t>
  </si>
  <si>
    <t>P0294</t>
  </si>
  <si>
    <t>P0295</t>
  </si>
  <si>
    <t>P0296</t>
  </si>
  <si>
    <t>P0297</t>
  </si>
  <si>
    <t>P0298</t>
  </si>
  <si>
    <t>P0299</t>
  </si>
  <si>
    <t>P0300</t>
  </si>
  <si>
    <t>P0301</t>
  </si>
  <si>
    <t>P0302</t>
  </si>
  <si>
    <t>P0303</t>
  </si>
  <si>
    <t>P0304</t>
  </si>
  <si>
    <t>P0305</t>
  </si>
  <si>
    <t>P0306</t>
  </si>
  <si>
    <t>P0307</t>
  </si>
  <si>
    <t>P0308</t>
  </si>
  <si>
    <t>P0309</t>
  </si>
  <si>
    <t>P0310</t>
  </si>
  <si>
    <t>P0311</t>
  </si>
  <si>
    <t>P0312</t>
  </si>
  <si>
    <t>P0313</t>
  </si>
  <si>
    <t>P0314</t>
  </si>
  <si>
    <t>P0315</t>
  </si>
  <si>
    <t>P0316</t>
  </si>
  <si>
    <t>P0317</t>
  </si>
  <si>
    <t>P0318</t>
  </si>
  <si>
    <t>P0319</t>
  </si>
  <si>
    <t>P0320</t>
  </si>
  <si>
    <t>P0321</t>
  </si>
  <si>
    <t>P0322</t>
  </si>
  <si>
    <t>P0323</t>
  </si>
  <si>
    <t>P0324</t>
  </si>
  <si>
    <t>P0325</t>
  </si>
  <si>
    <t>P0326</t>
  </si>
  <si>
    <t>P0327</t>
  </si>
  <si>
    <t>P0328</t>
  </si>
  <si>
    <t>P0329</t>
  </si>
  <si>
    <t>P0330</t>
  </si>
  <si>
    <t>P0331</t>
  </si>
  <si>
    <t>P0332</t>
  </si>
  <si>
    <t>P0333</t>
  </si>
  <si>
    <t>P0334</t>
  </si>
  <si>
    <t>P0335</t>
  </si>
  <si>
    <t>P0336</t>
  </si>
  <si>
    <t>P0337</t>
  </si>
  <si>
    <t>P0338</t>
  </si>
  <si>
    <t>P0339</t>
  </si>
  <si>
    <t>P0340</t>
  </si>
  <si>
    <t>P0341</t>
  </si>
  <si>
    <t>P0342</t>
  </si>
  <si>
    <t>P0343</t>
  </si>
  <si>
    <t>P0344</t>
  </si>
  <si>
    <t>P0345</t>
  </si>
  <si>
    <t>P0346</t>
  </si>
  <si>
    <t>P0347</t>
  </si>
  <si>
    <t>P0348</t>
  </si>
  <si>
    <t>P0349</t>
  </si>
  <si>
    <t>P0350</t>
  </si>
  <si>
    <t>P0351</t>
  </si>
  <si>
    <t>P0352</t>
  </si>
  <si>
    <t>P0353</t>
  </si>
  <si>
    <t>P0354</t>
  </si>
  <si>
    <t>P0355</t>
  </si>
  <si>
    <t>P0356</t>
  </si>
  <si>
    <t>P0357</t>
  </si>
  <si>
    <t>P0358</t>
  </si>
  <si>
    <t>P0359</t>
  </si>
  <si>
    <t>P0360</t>
  </si>
  <si>
    <t>P0361</t>
  </si>
  <si>
    <t>P0362</t>
  </si>
  <si>
    <t>P0363</t>
  </si>
  <si>
    <t>P0364</t>
  </si>
  <si>
    <t>P0365</t>
  </si>
  <si>
    <t>P0366</t>
  </si>
  <si>
    <t>P0367</t>
  </si>
  <si>
    <t>P0368</t>
  </si>
  <si>
    <t>P0369</t>
  </si>
  <si>
    <t>P0370</t>
  </si>
  <si>
    <t>P0371</t>
  </si>
  <si>
    <t>P0372</t>
  </si>
  <si>
    <t>P0373</t>
  </si>
  <si>
    <t>P0374</t>
  </si>
  <si>
    <t>P0375</t>
  </si>
  <si>
    <t>P0376</t>
  </si>
  <si>
    <t>P0377</t>
  </si>
  <si>
    <t>P0378</t>
  </si>
  <si>
    <t>P0379</t>
  </si>
  <si>
    <t>P0380</t>
  </si>
  <si>
    <t>P0381</t>
  </si>
  <si>
    <t>P0382</t>
  </si>
  <si>
    <t>P0383</t>
  </si>
  <si>
    <t>P0384</t>
  </si>
  <si>
    <t>P0385</t>
  </si>
  <si>
    <t>P0386</t>
  </si>
  <si>
    <t>P0387</t>
  </si>
  <si>
    <t>P0388</t>
  </si>
  <si>
    <t>P0389</t>
  </si>
  <si>
    <t>P0390</t>
  </si>
  <si>
    <t>P0391</t>
  </si>
  <si>
    <t>P0392</t>
  </si>
  <si>
    <t>P0393</t>
  </si>
  <si>
    <t>P0394</t>
  </si>
  <si>
    <t>P0395</t>
  </si>
  <si>
    <t>P0396</t>
  </si>
  <si>
    <t>P0397</t>
  </si>
  <si>
    <t>P0398</t>
  </si>
  <si>
    <t>P0399</t>
  </si>
  <si>
    <t>P0400</t>
  </si>
  <si>
    <t>P0401</t>
  </si>
  <si>
    <t>P0402</t>
  </si>
  <si>
    <t>P0403</t>
  </si>
  <si>
    <t>P0404</t>
  </si>
  <si>
    <t>P0405</t>
  </si>
  <si>
    <t>P0406</t>
  </si>
  <si>
    <t>P0407</t>
  </si>
  <si>
    <t>P0408</t>
  </si>
  <si>
    <t>P0409</t>
  </si>
  <si>
    <t>P0410</t>
  </si>
  <si>
    <t>P0411</t>
  </si>
  <si>
    <t>P0412</t>
  </si>
  <si>
    <t>P0413</t>
  </si>
  <si>
    <t>P0414</t>
  </si>
  <si>
    <t>P0415</t>
  </si>
  <si>
    <t>P0416</t>
  </si>
  <si>
    <t>P0417</t>
  </si>
  <si>
    <t>P0418</t>
  </si>
  <si>
    <t>P0419</t>
  </si>
  <si>
    <t>P0420</t>
  </si>
  <si>
    <t>P0421</t>
  </si>
  <si>
    <t>P0422</t>
  </si>
  <si>
    <t>P0423</t>
  </si>
  <si>
    <t>P0424</t>
  </si>
  <si>
    <t>P0425</t>
  </si>
  <si>
    <t>P0426</t>
  </si>
  <si>
    <t>P0427</t>
  </si>
  <si>
    <t>P0428</t>
  </si>
  <si>
    <t>P0429</t>
  </si>
  <si>
    <t>P0430</t>
  </si>
  <si>
    <t>P0431</t>
  </si>
  <si>
    <t>P0432</t>
  </si>
  <si>
    <t>P0433</t>
  </si>
  <si>
    <t>P0434</t>
  </si>
  <si>
    <t>P0435</t>
  </si>
  <si>
    <t>P0436</t>
  </si>
  <si>
    <t>P0437</t>
  </si>
  <si>
    <t>P0438</t>
  </si>
  <si>
    <t>P0439</t>
  </si>
  <si>
    <t>P0440</t>
  </si>
  <si>
    <t>P0441</t>
  </si>
  <si>
    <t>P0442</t>
  </si>
  <si>
    <t>P0443</t>
  </si>
  <si>
    <t>P0444</t>
  </si>
  <si>
    <t>P0445</t>
  </si>
  <si>
    <t>P0446</t>
  </si>
  <si>
    <t>P0447</t>
  </si>
  <si>
    <t>P0448</t>
  </si>
  <si>
    <t>P0449</t>
  </si>
  <si>
    <t>P0450</t>
  </si>
  <si>
    <t>P0451</t>
  </si>
  <si>
    <t>P0452</t>
  </si>
  <si>
    <t>P0453</t>
  </si>
  <si>
    <t>P0454</t>
  </si>
  <si>
    <t>P0455</t>
  </si>
  <si>
    <t>P0456</t>
  </si>
  <si>
    <t>P0457</t>
  </si>
  <si>
    <t>P0458</t>
  </si>
  <si>
    <t>P0459</t>
  </si>
  <si>
    <t>P0460</t>
  </si>
  <si>
    <t>P0461</t>
  </si>
  <si>
    <t>P0462</t>
  </si>
  <si>
    <t>P0463</t>
  </si>
  <si>
    <t>P0464</t>
  </si>
  <si>
    <t>P0465</t>
  </si>
  <si>
    <t>P0466</t>
  </si>
  <si>
    <t>P0467</t>
  </si>
  <si>
    <t>P0468</t>
  </si>
  <si>
    <t>P0469</t>
  </si>
  <si>
    <t>P0470</t>
  </si>
  <si>
    <t>P0471</t>
  </si>
  <si>
    <t>P0472</t>
  </si>
  <si>
    <t>P0473</t>
  </si>
  <si>
    <t>P0474</t>
  </si>
  <si>
    <t>P0475</t>
  </si>
  <si>
    <t>P0476</t>
  </si>
  <si>
    <t>P0477</t>
  </si>
  <si>
    <t>P0478</t>
  </si>
  <si>
    <t>P0479</t>
  </si>
  <si>
    <t>P0480</t>
  </si>
  <si>
    <t>P0481</t>
  </si>
  <si>
    <t>P0482</t>
  </si>
  <si>
    <t>P0483</t>
  </si>
  <si>
    <t>P0484</t>
  </si>
  <si>
    <t>P0485</t>
  </si>
  <si>
    <t>P0486</t>
  </si>
  <si>
    <t>P0487</t>
  </si>
  <si>
    <t>P0488</t>
  </si>
  <si>
    <t>P0489</t>
  </si>
  <si>
    <t>P0490</t>
  </si>
  <si>
    <t>P0491</t>
  </si>
  <si>
    <t>P0492</t>
  </si>
  <si>
    <t>P0493</t>
  </si>
  <si>
    <t>P0494</t>
  </si>
  <si>
    <t>P0495</t>
  </si>
  <si>
    <t>P0496</t>
  </si>
  <si>
    <t>P0497</t>
  </si>
  <si>
    <t>P0498</t>
  </si>
  <si>
    <t>P0499</t>
  </si>
  <si>
    <t>P0500</t>
  </si>
  <si>
    <t>P0501</t>
  </si>
  <si>
    <t>P0502</t>
  </si>
  <si>
    <t>P0503</t>
  </si>
  <si>
    <t>P0504</t>
  </si>
  <si>
    <t>P0505</t>
  </si>
  <si>
    <t>P0506</t>
  </si>
  <si>
    <t>P0507</t>
  </si>
  <si>
    <t>P0508</t>
  </si>
  <si>
    <t>P0509</t>
  </si>
  <si>
    <t>P0510</t>
  </si>
  <si>
    <t>P0511</t>
  </si>
  <si>
    <t>P0512</t>
  </si>
  <si>
    <t>P0513</t>
  </si>
  <si>
    <t>P0514</t>
  </si>
  <si>
    <t>P0515</t>
  </si>
  <si>
    <t>P0516</t>
  </si>
  <si>
    <t>P0517</t>
  </si>
  <si>
    <t>P0518</t>
  </si>
  <si>
    <t>P0519</t>
  </si>
  <si>
    <t>P0520</t>
  </si>
  <si>
    <t>Age_Group</t>
  </si>
  <si>
    <t>Month</t>
  </si>
  <si>
    <t>Year</t>
  </si>
  <si>
    <t>Grand Total</t>
  </si>
  <si>
    <t>Count of Patient_ID</t>
  </si>
  <si>
    <t>Average of Treatment_Cost</t>
  </si>
  <si>
    <t>Jan</t>
  </si>
  <si>
    <t>Feb</t>
  </si>
  <si>
    <t>Mar</t>
  </si>
  <si>
    <t>Apr</t>
  </si>
  <si>
    <t>May</t>
  </si>
  <si>
    <t>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</si>
</sst>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409]#,##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22" fontId="0" fillId="0" borderId="0" xfId="0" applyNumberFormat="1"/>
    <xf numFmtId="0" fontId="0" fillId="0" borderId="0" xfId="0" pivotButton="1"/>
    <xf numFmtId="0" fontId="0" fillId="0" borderId="0" xfId="0" applyAlignment="1">
      <alignment horizontal="left"/>
    </xf>
    <xf numFmtId="0" fontId="0" fillId="0" borderId="0" xfId="0" applyNumberFormat="1"/>
    <xf numFmtId="168" fontId="0" fillId="0" borderId="0" xfId="0" applyNumberFormat="1"/>
  </cellXfs>
  <cellStyles count="1">
    <cellStyle name="Normal" xfId="0" builtinId="0"/>
  </cellStyles>
  <dxfs count="1">
    <dxf>
      <numFmt numFmtId="27" formatCode="dd/mm/yyyy\ 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[Cleaned_Healthcare_Data_Excel.xlsx]Sheet3!PivotTable1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Patients by Disease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Sheet3!$A$4:$A$11</c:f>
              <c:strCache>
                <c:ptCount val="7"/>
                <c:pt idx="0">
                  <c:v>Asthma</c:v>
                </c:pt>
                <c:pt idx="1">
                  <c:v>Diabetes</c:v>
                </c:pt>
                <c:pt idx="2">
                  <c:v>Flu</c:v>
                </c:pt>
                <c:pt idx="3">
                  <c:v>Heart Disease</c:v>
                </c:pt>
                <c:pt idx="4">
                  <c:v>Hypertension</c:v>
                </c:pt>
                <c:pt idx="5">
                  <c:v>Infection</c:v>
                </c:pt>
                <c:pt idx="6">
                  <c:v>Migraine</c:v>
                </c:pt>
              </c:strCache>
            </c:strRef>
          </c:cat>
          <c:val>
            <c:numRef>
              <c:f>Sheet3!$B$4:$B$11</c:f>
              <c:numCache>
                <c:formatCode>General</c:formatCode>
                <c:ptCount val="7"/>
                <c:pt idx="0">
                  <c:v>34</c:v>
                </c:pt>
                <c:pt idx="1">
                  <c:v>22</c:v>
                </c:pt>
                <c:pt idx="2">
                  <c:v>23</c:v>
                </c:pt>
                <c:pt idx="3">
                  <c:v>30</c:v>
                </c:pt>
                <c:pt idx="4">
                  <c:v>28</c:v>
                </c:pt>
                <c:pt idx="5">
                  <c:v>26</c:v>
                </c:pt>
                <c:pt idx="6">
                  <c:v>19</c:v>
                </c:pt>
              </c:numCache>
            </c:numRef>
          </c:val>
          <c:extLst>
            <c:ext xmlns:c16="http://schemas.microsoft.com/office/drawing/2014/chart" uri="{C3380CC4-5D6E-409C-BE32-E72D297353CC}">
              <c16:uniqueId val="{00000000-E89D-424D-AF7D-0B2DE6A55A08}"/>
            </c:ext>
          </c:extLst>
        </c:ser>
        <c:dLbls>
          <c:showLegendKey val="0"/>
          <c:showVal val="0"/>
          <c:showCatName val="0"/>
          <c:showSerName val="0"/>
          <c:showPercent val="0"/>
          <c:showBubbleSize val="0"/>
        </c:dLbls>
        <c:gapWidth val="182"/>
        <c:axId val="1482728144"/>
        <c:axId val="1475960032"/>
      </c:barChart>
      <c:catAx>
        <c:axId val="1482728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475960032"/>
        <c:crosses val="autoZero"/>
        <c:auto val="1"/>
        <c:lblAlgn val="ctr"/>
        <c:lblOffset val="100"/>
        <c:noMultiLvlLbl val="0"/>
      </c:catAx>
      <c:valAx>
        <c:axId val="14759600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482728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[Cleaned_Healthcare_Data_Excel.xlsx]Sheet3 (2)!PivotTable1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Treatment Cost by Hospital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'Sheet3 (2)'!$B$3</c:f>
              <c:strCache>
                <c:ptCount val="1"/>
                <c:pt idx="0">
                  <c:v>Total</c:v>
                </c:pt>
              </c:strCache>
            </c:strRef>
          </c:tx>
          <c:spPr>
            <a:solidFill>
              <a:schemeClr val="accent1"/>
            </a:solidFill>
            <a:ln>
              <a:noFill/>
            </a:ln>
            <a:effectLst/>
          </c:spPr>
          <c:invertIfNegative val="0"/>
          <c:cat>
            <c:strRef>
              <c:f>'Sheet3 (2)'!$A$4:$A$8</c:f>
              <c:strCache>
                <c:ptCount val="4"/>
                <c:pt idx="0">
                  <c:v>Care Clinic</c:v>
                </c:pt>
                <c:pt idx="1">
                  <c:v>City Hospital</c:v>
                </c:pt>
                <c:pt idx="2">
                  <c:v>Health Plus</c:v>
                </c:pt>
                <c:pt idx="3">
                  <c:v>National Hospital</c:v>
                </c:pt>
              </c:strCache>
            </c:strRef>
          </c:cat>
          <c:val>
            <c:numRef>
              <c:f>'Sheet3 (2)'!$B$4:$B$8</c:f>
              <c:numCache>
                <c:formatCode>[$$-409]#,##0.00</c:formatCode>
                <c:ptCount val="4"/>
                <c:pt idx="0">
                  <c:v>1616.6875</c:v>
                </c:pt>
                <c:pt idx="1">
                  <c:v>1403.6538461538462</c:v>
                </c:pt>
                <c:pt idx="2">
                  <c:v>1526.4324324324325</c:v>
                </c:pt>
                <c:pt idx="3">
                  <c:v>1629.0666666666666</c:v>
                </c:pt>
              </c:numCache>
            </c:numRef>
          </c:val>
          <c:extLst>
            <c:ext xmlns:c16="http://schemas.microsoft.com/office/drawing/2014/chart" uri="{C3380CC4-5D6E-409C-BE32-E72D297353CC}">
              <c16:uniqueId val="{00000000-909E-480D-87C2-54A245EE41CE}"/>
            </c:ext>
          </c:extLst>
        </c:ser>
        <c:dLbls>
          <c:showLegendKey val="0"/>
          <c:showVal val="0"/>
          <c:showCatName val="0"/>
          <c:showSerName val="0"/>
          <c:showPercent val="0"/>
          <c:showBubbleSize val="0"/>
        </c:dLbls>
        <c:gapWidth val="219"/>
        <c:overlap val="-27"/>
        <c:axId val="42568048"/>
        <c:axId val="255547472"/>
      </c:barChart>
      <c:catAx>
        <c:axId val="42568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255547472"/>
        <c:crosses val="autoZero"/>
        <c:auto val="1"/>
        <c:lblAlgn val="ctr"/>
        <c:lblOffset val="100"/>
        <c:noMultiLvlLbl val="0"/>
      </c:catAx>
      <c:valAx>
        <c:axId val="255547472"/>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42568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[Cleaned_Healthcare_Data_Excel.xlsx]Sheet3 (3)!PivotTable1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Monthly Patient Trend</a:t>
            </a:r>
            <a:endParaRPr lang="en-US"/>
          </a:p>
        </c:rich>
      </c:tx>
      <c:layout>
        <c:manualLayout>
          <c:xMode val="edge"/>
          <c:yMode val="edge"/>
          <c:x val="0.40361111111111114"/>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'Sheet3 (3)'!$B$3</c:f>
              <c:strCache>
                <c:ptCount val="1"/>
                <c:pt idx="0">
                  <c:v>Total</c:v>
                </c:pt>
              </c:strCache>
            </c:strRef>
          </c:tx>
          <c:spPr>
            <a:ln w="28575" cap="rnd">
              <a:solidFill>
                <a:schemeClr val="accent1"/>
              </a:solidFill>
              <a:round/>
            </a:ln>
            <a:effectLst/>
          </c:spPr>
          <c:marker>
            <c:symbol val="none"/>
          </c:marker>
          <c:cat>
            <c:strRef>
              <c:f>'Sheet3 (3)'!$A$4:$A$9</c:f>
              <c:strCache>
                <c:ptCount val="5"/>
                <c:pt idx="0">
                  <c:v>Jan</c:v>
                </c:pt>
                <c:pt idx="1">
                  <c:v>Feb</c:v>
                </c:pt>
                <c:pt idx="2">
                  <c:v>Mar</c:v>
                </c:pt>
                <c:pt idx="3">
                  <c:v>Apr</c:v>
                </c:pt>
                <c:pt idx="4">
                  <c:v>May</c:v>
                </c:pt>
              </c:strCache>
            </c:strRef>
          </c:cat>
          <c:val>
            <c:numRef>
              <c:f>'Sheet3 (3)'!$B$4:$B$9</c:f>
              <c:numCache>
                <c:formatCode>General</c:formatCode>
                <c:ptCount val="5"/>
                <c:pt idx="0">
                  <c:v>38</c:v>
                </c:pt>
                <c:pt idx="1">
                  <c:v>32</c:v>
                </c:pt>
                <c:pt idx="2">
                  <c:v>34</c:v>
                </c:pt>
                <c:pt idx="3">
                  <c:v>40</c:v>
                </c:pt>
                <c:pt idx="4">
                  <c:v>38</c:v>
                </c:pt>
              </c:numCache>
            </c:numRef>
          </c:val>
          <c:smooth val="0"/>
          <c:extLst>
            <c:ext xmlns:c16="http://schemas.microsoft.com/office/drawing/2014/chart" uri="{C3380CC4-5D6E-409C-BE32-E72D297353CC}">
              <c16:uniqueId val="{00000000-C213-4A5A-9CC8-8C3DCE79970A}"/>
            </c:ext>
          </c:extLst>
        </c:ser>
        <c:dLbls>
          <c:showLegendKey val="0"/>
          <c:showVal val="0"/>
          <c:showCatName val="0"/>
          <c:showSerName val="0"/>
          <c:showPercent val="0"/>
          <c:showBubbleSize val="0"/>
        </c:dLbls>
        <c:smooth val="0"/>
        <c:axId val="149921760"/>
        <c:axId val="160346864"/>
      </c:lineChart>
      <c:catAx>
        <c:axId val="149921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60346864"/>
        <c:crosses val="autoZero"/>
        <c:auto val="1"/>
        <c:lblAlgn val="ctr"/>
        <c:lblOffset val="100"/>
        <c:noMultiLvlLbl val="0"/>
      </c:catAx>
      <c:valAx>
        <c:axId val="160346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49921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[Cleaned_Healthcare_Data_Excel.xlsx]Sheet3 (4)!PivotTable1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Insurance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'Sheet3 (4)'!$B$3</c:f>
              <c:strCache>
                <c:ptCount val="1"/>
                <c:pt idx="0">
                  <c:v>Total</c:v>
                </c:pt>
              </c:strCache>
            </c:strRef>
          </c:tx>
          <c:spPr>
            <a:solidFill>
              <a:schemeClr val="accent1"/>
            </a:solidFill>
            <a:ln>
              <a:noFill/>
            </a:ln>
            <a:effectLst/>
          </c:spPr>
          <c:invertIfNegative val="0"/>
          <c:cat>
            <c:strRef>
              <c:f>'Sheet3 (4)'!$A$4:$A$6</c:f>
              <c:strCache>
                <c:ptCount val="2"/>
                <c:pt idx="0">
                  <c:v>No</c:v>
                </c:pt>
                <c:pt idx="1">
                  <c:v>Yes</c:v>
                </c:pt>
              </c:strCache>
            </c:strRef>
          </c:cat>
          <c:val>
            <c:numRef>
              <c:f>'Sheet3 (4)'!$B$4:$B$6</c:f>
              <c:numCache>
                <c:formatCode>General</c:formatCode>
                <c:ptCount val="2"/>
                <c:pt idx="0">
                  <c:v>1541.0947368421052</c:v>
                </c:pt>
                <c:pt idx="1">
                  <c:v>1539.9195402298851</c:v>
                </c:pt>
              </c:numCache>
            </c:numRef>
          </c:val>
          <c:extLst>
            <c:ext xmlns:c16="http://schemas.microsoft.com/office/drawing/2014/chart" uri="{C3380CC4-5D6E-409C-BE32-E72D297353CC}">
              <c16:uniqueId val="{00000000-9AA6-4C70-8198-2B96794BCFB2}"/>
            </c:ext>
          </c:extLst>
        </c:ser>
        <c:dLbls>
          <c:showLegendKey val="0"/>
          <c:showVal val="0"/>
          <c:showCatName val="0"/>
          <c:showSerName val="0"/>
          <c:showPercent val="0"/>
          <c:showBubbleSize val="0"/>
        </c:dLbls>
        <c:gapWidth val="219"/>
        <c:overlap val="-27"/>
        <c:axId val="1434278160"/>
        <c:axId val="160341040"/>
      </c:barChart>
      <c:catAx>
        <c:axId val="1434278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60341040"/>
        <c:crosses val="autoZero"/>
        <c:auto val="1"/>
        <c:lblAlgn val="ctr"/>
        <c:lblOffset val="100"/>
        <c:noMultiLvlLbl val="0"/>
      </c:catAx>
      <c:valAx>
        <c:axId val="160341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434278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590550</xdr:colOff>
      <xdr:row>2</xdr:row>
      <xdr:rowOff>171450</xdr:rowOff>
    </xdr:from>
    <xdr:to>
      <xdr:col>14</xdr:col>
      <xdr:colOff>19050</xdr:colOff>
      <xdr:row>24</xdr:row>
      <xdr:rowOff>0</xdr:rowOff>
    </xdr:to>
    <xdr:graphicFrame macro="">
      <xdr:nvGraphicFramePr>
        <xdr:cNvPr id="2" name="Chart 1">
          <a:extLst>
            <a:ext uri="{FF2B5EF4-FFF2-40B4-BE49-F238E27FC236}">
              <a16:creationId xmlns:a16="http://schemas.microsoft.com/office/drawing/2014/main" id="{BDE80B00-01A0-4C9E-BC08-E9226FB4AF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9524</xdr:colOff>
      <xdr:row>2</xdr:row>
      <xdr:rowOff>180975</xdr:rowOff>
    </xdr:from>
    <xdr:to>
      <xdr:col>24</xdr:col>
      <xdr:colOff>609599</xdr:colOff>
      <xdr:row>24</xdr:row>
      <xdr:rowOff>9525</xdr:rowOff>
    </xdr:to>
    <xdr:graphicFrame macro="">
      <xdr:nvGraphicFramePr>
        <xdr:cNvPr id="3" name="Chart 2">
          <a:extLst>
            <a:ext uri="{FF2B5EF4-FFF2-40B4-BE49-F238E27FC236}">
              <a16:creationId xmlns:a16="http://schemas.microsoft.com/office/drawing/2014/main" id="{BF2764BA-A784-4F9A-8EAD-ED3AB86514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581025</xdr:colOff>
      <xdr:row>28</xdr:row>
      <xdr:rowOff>0</xdr:rowOff>
    </xdr:from>
    <xdr:to>
      <xdr:col>14</xdr:col>
      <xdr:colOff>28575</xdr:colOff>
      <xdr:row>46</xdr:row>
      <xdr:rowOff>19050</xdr:rowOff>
    </xdr:to>
    <xdr:graphicFrame macro="">
      <xdr:nvGraphicFramePr>
        <xdr:cNvPr id="4" name="Chart 3">
          <a:extLst>
            <a:ext uri="{FF2B5EF4-FFF2-40B4-BE49-F238E27FC236}">
              <a16:creationId xmlns:a16="http://schemas.microsoft.com/office/drawing/2014/main" id="{94E06E3A-6F13-4A4F-887E-185625FCD1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27</xdr:row>
      <xdr:rowOff>190499</xdr:rowOff>
    </xdr:from>
    <xdr:to>
      <xdr:col>25</xdr:col>
      <xdr:colOff>0</xdr:colOff>
      <xdr:row>46</xdr:row>
      <xdr:rowOff>9525</xdr:rowOff>
    </xdr:to>
    <xdr:graphicFrame macro="">
      <xdr:nvGraphicFramePr>
        <xdr:cNvPr id="5" name="Chart 4">
          <a:extLst>
            <a:ext uri="{FF2B5EF4-FFF2-40B4-BE49-F238E27FC236}">
              <a16:creationId xmlns:a16="http://schemas.microsoft.com/office/drawing/2014/main" id="{AB85A5FA-B894-4615-8AD0-E5B5DAB928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10</xdr:row>
      <xdr:rowOff>171450</xdr:rowOff>
    </xdr:from>
    <xdr:to>
      <xdr:col>3</xdr:col>
      <xdr:colOff>0</xdr:colOff>
      <xdr:row>24</xdr:row>
      <xdr:rowOff>28575</xdr:rowOff>
    </xdr:to>
    <mc:AlternateContent xmlns:mc="http://schemas.openxmlformats.org/markup-compatibility/2006">
      <mc:Choice xmlns:a14="http://schemas.microsoft.com/office/drawing/2010/main" Requires="a14">
        <xdr:graphicFrame macro="">
          <xdr:nvGraphicFramePr>
            <xdr:cNvPr id="6" name="Disease">
              <a:extLst>
                <a:ext uri="{FF2B5EF4-FFF2-40B4-BE49-F238E27FC236}">
                  <a16:creationId xmlns:a16="http://schemas.microsoft.com/office/drawing/2014/main" id="{C3811356-D7A9-4AAA-B9EB-40AFAE846B53}"/>
                </a:ext>
              </a:extLst>
            </xdr:cNvPr>
            <xdr:cNvGraphicFramePr/>
          </xdr:nvGraphicFramePr>
          <xdr:xfrm>
            <a:off x="0" y="0"/>
            <a:ext cx="0" cy="0"/>
          </xdr:xfrm>
          <a:graphic>
            <a:graphicData uri="http://schemas.microsoft.com/office/drawing/2010/slicer">
              <sle:slicer xmlns:sle="http://schemas.microsoft.com/office/drawing/2010/slicer" name="Disease"/>
            </a:graphicData>
          </a:graphic>
        </xdr:graphicFrame>
      </mc:Choice>
      <mc:Fallback>
        <xdr:sp macro="" textlink="">
          <xdr:nvSpPr>
            <xdr:cNvPr id="0" name=""/>
            <xdr:cNvSpPr>
              <a:spLocks noTextEdit="1"/>
            </xdr:cNvSpPr>
          </xdr:nvSpPr>
          <xdr:spPr>
            <a:xfrm>
              <a:off x="0" y="2076450"/>
              <a:ext cx="1828800" cy="252412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28</xdr:row>
      <xdr:rowOff>0</xdr:rowOff>
    </xdr:from>
    <xdr:to>
      <xdr:col>3</xdr:col>
      <xdr:colOff>0</xdr:colOff>
      <xdr:row>41</xdr:row>
      <xdr:rowOff>47625</xdr:rowOff>
    </xdr:to>
    <mc:AlternateContent xmlns:mc="http://schemas.openxmlformats.org/markup-compatibility/2006">
      <mc:Choice xmlns:a14="http://schemas.microsoft.com/office/drawing/2010/main" Requires="a14">
        <xdr:graphicFrame macro="">
          <xdr:nvGraphicFramePr>
            <xdr:cNvPr id="7" name="Hospital">
              <a:extLst>
                <a:ext uri="{FF2B5EF4-FFF2-40B4-BE49-F238E27FC236}">
                  <a16:creationId xmlns:a16="http://schemas.microsoft.com/office/drawing/2014/main" id="{AAEB99CE-5320-4144-AFA6-2238CE87AEF4}"/>
                </a:ext>
              </a:extLst>
            </xdr:cNvPr>
            <xdr:cNvGraphicFramePr/>
          </xdr:nvGraphicFramePr>
          <xdr:xfrm>
            <a:off x="0" y="0"/>
            <a:ext cx="0" cy="0"/>
          </xdr:xfrm>
          <a:graphic>
            <a:graphicData uri="http://schemas.microsoft.com/office/drawing/2010/slicer">
              <sle:slicer xmlns:sle="http://schemas.microsoft.com/office/drawing/2010/slicer" name="Hospital"/>
            </a:graphicData>
          </a:graphic>
        </xdr:graphicFrame>
      </mc:Choice>
      <mc:Fallback>
        <xdr:sp macro="" textlink="">
          <xdr:nvSpPr>
            <xdr:cNvPr id="0" name=""/>
            <xdr:cNvSpPr>
              <a:spLocks noTextEdit="1"/>
            </xdr:cNvSpPr>
          </xdr:nvSpPr>
          <xdr:spPr>
            <a:xfrm>
              <a:off x="0" y="5334000"/>
              <a:ext cx="1828800" cy="252412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xdr:row>
      <xdr:rowOff>161925</xdr:rowOff>
    </xdr:from>
    <xdr:to>
      <xdr:col>3</xdr:col>
      <xdr:colOff>561975</xdr:colOff>
      <xdr:row>9</xdr:row>
      <xdr:rowOff>180975</xdr:rowOff>
    </xdr:to>
    <mc:AlternateContent xmlns:mc="http://schemas.openxmlformats.org/markup-compatibility/2006">
      <mc:Choice xmlns:tsle="http://schemas.microsoft.com/office/drawing/2012/timeslicer" Requires="tsle">
        <xdr:graphicFrame macro="">
          <xdr:nvGraphicFramePr>
            <xdr:cNvPr id="8" name="Visit_Date">
              <a:extLst>
                <a:ext uri="{FF2B5EF4-FFF2-40B4-BE49-F238E27FC236}">
                  <a16:creationId xmlns:a16="http://schemas.microsoft.com/office/drawing/2014/main" id="{ED605A15-2A0B-49BA-ADDD-561BFB2D5BA8}"/>
                </a:ext>
              </a:extLst>
            </xdr:cNvPr>
            <xdr:cNvGraphicFramePr/>
          </xdr:nvGraphicFramePr>
          <xdr:xfrm>
            <a:off x="0" y="0"/>
            <a:ext cx="0" cy="0"/>
          </xdr:xfrm>
          <a:graphic>
            <a:graphicData uri="http://schemas.microsoft.com/office/drawing/2012/timeslicer">
              <tsle:timeslicer xmlns:tsle="http://schemas.microsoft.com/office/drawing/2012/timeslicer" name="Visit_Date"/>
            </a:graphicData>
          </a:graphic>
        </xdr:graphicFrame>
      </mc:Choice>
      <mc:Fallback>
        <xdr:sp macro="" textlink="">
          <xdr:nvSpPr>
            <xdr:cNvPr id="0" name=""/>
            <xdr:cNvSpPr>
              <a:spLocks noTextEdit="1"/>
            </xdr:cNvSpPr>
          </xdr:nvSpPr>
          <xdr:spPr>
            <a:xfrm>
              <a:off x="0" y="542925"/>
              <a:ext cx="2390775" cy="1352550"/>
            </a:xfrm>
            <a:prstGeom prst="rect">
              <a:avLst/>
            </a:prstGeom>
            <a:solidFill>
              <a:prstClr val="white"/>
            </a:solidFill>
            <a:ln w="1">
              <a:solidFill>
                <a:prstClr val="green"/>
              </a:solidFill>
            </a:ln>
          </xdr:spPr>
          <xdr:txBody>
            <a:bodyPr vertOverflow="clip" horzOverflow="clip"/>
            <a:lstStyle/>
            <a:p>
              <a:r>
                <a:rPr lang="en-PK"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rman khatak" refreshedDate="46025.827895717593" createdVersion="6" refreshedVersion="6" minRefreshableVersion="3" recordCount="520" xr:uid="{FE73D0E8-A2A8-4FEB-8015-CBA28A68563E}">
  <cacheSource type="worksheet">
    <worksheetSource name="healthcare_data_520_rows"/>
  </cacheSource>
  <cacheFields count="10">
    <cacheField name="Patient_ID" numFmtId="0">
      <sharedItems count="520">
        <s v="P0001"/>
        <s v="P0002"/>
        <s v="P0003"/>
        <s v="P0004"/>
        <s v="P0005"/>
        <s v="P0006"/>
        <s v="P0007"/>
        <s v="P0008"/>
        <s v="P0009"/>
        <s v="P0010"/>
        <s v="P0011"/>
        <s v="P0012"/>
        <s v="P0013"/>
        <s v="P0014"/>
        <s v="P0015"/>
        <s v="P0016"/>
        <s v="P0017"/>
        <s v="P0018"/>
        <s v="P0019"/>
        <s v="P0020"/>
        <s v="P0021"/>
        <s v="P0022"/>
        <s v="P0023"/>
        <s v="P0024"/>
        <s v="P0025"/>
        <s v="P0026"/>
        <s v="P0027"/>
        <s v="P0028"/>
        <s v="P0029"/>
        <s v="P0030"/>
        <s v="P0031"/>
        <s v="P0032"/>
        <s v="P0033"/>
        <s v="P0034"/>
        <s v="P0035"/>
        <s v="P0036"/>
        <s v="P0037"/>
        <s v="P0038"/>
        <s v="P0039"/>
        <s v="P0040"/>
        <s v="P0041"/>
        <s v="P0042"/>
        <s v="P0043"/>
        <s v="P0044"/>
        <s v="P0045"/>
        <s v="P0046"/>
        <s v="P0047"/>
        <s v="P0048"/>
        <s v="P0049"/>
        <s v="P0050"/>
        <s v="P0051"/>
        <s v="P0052"/>
        <s v="P0053"/>
        <s v="P0054"/>
        <s v="P0055"/>
        <s v="P0056"/>
        <s v="P0057"/>
        <s v="P0058"/>
        <s v="P0059"/>
        <s v="P0060"/>
        <s v="P0061"/>
        <s v="P0062"/>
        <s v="P0063"/>
        <s v="P0064"/>
        <s v="P0065"/>
        <s v="P0066"/>
        <s v="P0067"/>
        <s v="P0068"/>
        <s v="P0069"/>
        <s v="P0070"/>
        <s v="P0071"/>
        <s v="P0072"/>
        <s v="P0073"/>
        <s v="P0074"/>
        <s v="P0075"/>
        <s v="P0076"/>
        <s v="P0077"/>
        <s v="P0078"/>
        <s v="P0079"/>
        <s v="P0080"/>
        <s v="P0081"/>
        <s v="P0082"/>
        <s v="P0083"/>
        <s v="P0084"/>
        <s v="P0085"/>
        <s v="P0086"/>
        <s v="P0087"/>
        <s v="P0088"/>
        <s v="P0089"/>
        <s v="P0090"/>
        <s v="P0091"/>
        <s v="P0092"/>
        <s v="P0093"/>
        <s v="P0094"/>
        <s v="P0095"/>
        <s v="P0096"/>
        <s v="P0097"/>
        <s v="P0098"/>
        <s v="P0099"/>
        <s v="P0100"/>
        <s v="P0101"/>
        <s v="P0102"/>
        <s v="P0103"/>
        <s v="P0104"/>
        <s v="P0105"/>
        <s v="P0106"/>
        <s v="P0107"/>
        <s v="P0108"/>
        <s v="P0109"/>
        <s v="P0110"/>
        <s v="P0111"/>
        <s v="P0112"/>
        <s v="P0113"/>
        <s v="P0114"/>
        <s v="P0115"/>
        <s v="P0116"/>
        <s v="P0117"/>
        <s v="P0118"/>
        <s v="P0119"/>
        <s v="P0120"/>
        <s v="P0121"/>
        <s v="P0122"/>
        <s v="P0123"/>
        <s v="P0124"/>
        <s v="P0125"/>
        <s v="P0126"/>
        <s v="P0127"/>
        <s v="P0128"/>
        <s v="P0129"/>
        <s v="P0130"/>
        <s v="P0131"/>
        <s v="P0132"/>
        <s v="P0133"/>
        <s v="P0134"/>
        <s v="P0135"/>
        <s v="P0136"/>
        <s v="P0137"/>
        <s v="P0138"/>
        <s v="P0139"/>
        <s v="P0140"/>
        <s v="P0141"/>
        <s v="P0142"/>
        <s v="P0143"/>
        <s v="P0144"/>
        <s v="P0145"/>
        <s v="P0146"/>
        <s v="P0147"/>
        <s v="P0148"/>
        <s v="P0149"/>
        <s v="P0150"/>
        <s v="P0151"/>
        <s v="P0152"/>
        <s v="P0153"/>
        <s v="P0154"/>
        <s v="P0155"/>
        <s v="P0156"/>
        <s v="P0157"/>
        <s v="P0158"/>
        <s v="P0159"/>
        <s v="P0160"/>
        <s v="P0161"/>
        <s v="P0162"/>
        <s v="P0163"/>
        <s v="P0164"/>
        <s v="P0165"/>
        <s v="P0166"/>
        <s v="P0167"/>
        <s v="P0168"/>
        <s v="P0169"/>
        <s v="P0170"/>
        <s v="P0171"/>
        <s v="P0172"/>
        <s v="P0173"/>
        <s v="P0174"/>
        <s v="P0175"/>
        <s v="P0176"/>
        <s v="P0177"/>
        <s v="P0178"/>
        <s v="P0179"/>
        <s v="P0180"/>
        <s v="P0181"/>
        <s v="P0182"/>
        <s v="P0183"/>
        <s v="P0184"/>
        <s v="P0185"/>
        <s v="P0186"/>
        <s v="P0187"/>
        <s v="P0188"/>
        <s v="P0189"/>
        <s v="P0190"/>
        <s v="P0191"/>
        <s v="P0192"/>
        <s v="P0193"/>
        <s v="P0194"/>
        <s v="P0195"/>
        <s v="P0196"/>
        <s v="P0197"/>
        <s v="P0198"/>
        <s v="P0199"/>
        <s v="P0200"/>
        <s v="P0201"/>
        <s v="P0202"/>
        <s v="P0203"/>
        <s v="P0204"/>
        <s v="P0205"/>
        <s v="P0206"/>
        <s v="P0207"/>
        <s v="P0208"/>
        <s v="P0209"/>
        <s v="P0210"/>
        <s v="P0211"/>
        <s v="P0212"/>
        <s v="P0213"/>
        <s v="P0214"/>
        <s v="P0215"/>
        <s v="P0216"/>
        <s v="P0217"/>
        <s v="P0218"/>
        <s v="P0219"/>
        <s v="P0220"/>
        <s v="P0221"/>
        <s v="P0222"/>
        <s v="P0223"/>
        <s v="P0224"/>
        <s v="P0225"/>
        <s v="P0226"/>
        <s v="P0227"/>
        <s v="P0228"/>
        <s v="P0229"/>
        <s v="P0230"/>
        <s v="P0231"/>
        <s v="P0232"/>
        <s v="P0233"/>
        <s v="P0234"/>
        <s v="P0235"/>
        <s v="P0236"/>
        <s v="P0237"/>
        <s v="P0238"/>
        <s v="P0239"/>
        <s v="P0240"/>
        <s v="P0241"/>
        <s v="P0242"/>
        <s v="P0243"/>
        <s v="P0244"/>
        <s v="P0245"/>
        <s v="P0246"/>
        <s v="P0247"/>
        <s v="P0248"/>
        <s v="P0249"/>
        <s v="P0250"/>
        <s v="P0251"/>
        <s v="P0252"/>
        <s v="P0253"/>
        <s v="P0254"/>
        <s v="P0255"/>
        <s v="P0256"/>
        <s v="P0257"/>
        <s v="P0258"/>
        <s v="P0259"/>
        <s v="P0260"/>
        <s v="P0261"/>
        <s v="P0262"/>
        <s v="P0263"/>
        <s v="P0264"/>
        <s v="P0265"/>
        <s v="P0266"/>
        <s v="P0267"/>
        <s v="P0268"/>
        <s v="P0269"/>
        <s v="P0270"/>
        <s v="P0271"/>
        <s v="P0272"/>
        <s v="P0273"/>
        <s v="P0274"/>
        <s v="P0275"/>
        <s v="P0276"/>
        <s v="P0277"/>
        <s v="P0278"/>
        <s v="P0279"/>
        <s v="P0280"/>
        <s v="P0281"/>
        <s v="P0282"/>
        <s v="P0283"/>
        <s v="P0284"/>
        <s v="P0285"/>
        <s v="P0286"/>
        <s v="P0287"/>
        <s v="P0288"/>
        <s v="P0289"/>
        <s v="P0290"/>
        <s v="P0291"/>
        <s v="P0292"/>
        <s v="P0293"/>
        <s v="P0294"/>
        <s v="P0295"/>
        <s v="P0296"/>
        <s v="P0297"/>
        <s v="P0298"/>
        <s v="P0299"/>
        <s v="P0300"/>
        <s v="P0301"/>
        <s v="P0302"/>
        <s v="P0303"/>
        <s v="P0304"/>
        <s v="P0305"/>
        <s v="P0306"/>
        <s v="P0307"/>
        <s v="P0308"/>
        <s v="P0309"/>
        <s v="P0310"/>
        <s v="P0311"/>
        <s v="P0312"/>
        <s v="P0313"/>
        <s v="P0314"/>
        <s v="P0315"/>
        <s v="P0316"/>
        <s v="P0317"/>
        <s v="P0318"/>
        <s v="P0319"/>
        <s v="P0320"/>
        <s v="P0321"/>
        <s v="P0322"/>
        <s v="P0323"/>
        <s v="P0324"/>
        <s v="P0325"/>
        <s v="P0326"/>
        <s v="P0327"/>
        <s v="P0328"/>
        <s v="P0329"/>
        <s v="P0330"/>
        <s v="P0331"/>
        <s v="P0332"/>
        <s v="P0333"/>
        <s v="P0334"/>
        <s v="P0335"/>
        <s v="P0336"/>
        <s v="P0337"/>
        <s v="P0338"/>
        <s v="P0339"/>
        <s v="P0340"/>
        <s v="P0341"/>
        <s v="P0342"/>
        <s v="P0343"/>
        <s v="P0344"/>
        <s v="P0345"/>
        <s v="P0346"/>
        <s v="P0347"/>
        <s v="P0348"/>
        <s v="P0349"/>
        <s v="P0350"/>
        <s v="P0351"/>
        <s v="P0352"/>
        <s v="P0353"/>
        <s v="P0354"/>
        <s v="P0355"/>
        <s v="P0356"/>
        <s v="P0357"/>
        <s v="P0358"/>
        <s v="P0359"/>
        <s v="P0360"/>
        <s v="P0361"/>
        <s v="P0362"/>
        <s v="P0363"/>
        <s v="P0364"/>
        <s v="P0365"/>
        <s v="P0366"/>
        <s v="P0367"/>
        <s v="P0368"/>
        <s v="P0369"/>
        <s v="P0370"/>
        <s v="P0371"/>
        <s v="P0372"/>
        <s v="P0373"/>
        <s v="P0374"/>
        <s v="P0375"/>
        <s v="P0376"/>
        <s v="P0377"/>
        <s v="P0378"/>
        <s v="P0379"/>
        <s v="P0380"/>
        <s v="P0381"/>
        <s v="P0382"/>
        <s v="P0383"/>
        <s v="P0384"/>
        <s v="P0385"/>
        <s v="P0386"/>
        <s v="P0387"/>
        <s v="P0388"/>
        <s v="P0389"/>
        <s v="P0390"/>
        <s v="P0391"/>
        <s v="P0392"/>
        <s v="P0393"/>
        <s v="P0394"/>
        <s v="P0395"/>
        <s v="P0396"/>
        <s v="P0397"/>
        <s v="P0398"/>
        <s v="P0399"/>
        <s v="P0400"/>
        <s v="P0401"/>
        <s v="P0402"/>
        <s v="P0403"/>
        <s v="P0404"/>
        <s v="P0405"/>
        <s v="P0406"/>
        <s v="P0407"/>
        <s v="P0408"/>
        <s v="P0409"/>
        <s v="P0410"/>
        <s v="P0411"/>
        <s v="P0412"/>
        <s v="P0413"/>
        <s v="P0414"/>
        <s v="P0415"/>
        <s v="P0416"/>
        <s v="P0417"/>
        <s v="P0418"/>
        <s v="P0419"/>
        <s v="P0420"/>
        <s v="P0421"/>
        <s v="P0422"/>
        <s v="P0423"/>
        <s v="P0424"/>
        <s v="P0425"/>
        <s v="P0426"/>
        <s v="P0427"/>
        <s v="P0428"/>
        <s v="P0429"/>
        <s v="P0430"/>
        <s v="P0431"/>
        <s v="P0432"/>
        <s v="P0433"/>
        <s v="P0434"/>
        <s v="P0435"/>
        <s v="P0436"/>
        <s v="P0437"/>
        <s v="P0438"/>
        <s v="P0439"/>
        <s v="P0440"/>
        <s v="P0441"/>
        <s v="P0442"/>
        <s v="P0443"/>
        <s v="P0444"/>
        <s v="P0445"/>
        <s v="P0446"/>
        <s v="P0447"/>
        <s v="P0448"/>
        <s v="P0449"/>
        <s v="P0450"/>
        <s v="P0451"/>
        <s v="P0452"/>
        <s v="P0453"/>
        <s v="P0454"/>
        <s v="P0455"/>
        <s v="P0456"/>
        <s v="P0457"/>
        <s v="P0458"/>
        <s v="P0459"/>
        <s v="P0460"/>
        <s v="P0461"/>
        <s v="P0462"/>
        <s v="P0463"/>
        <s v="P0464"/>
        <s v="P0465"/>
        <s v="P0466"/>
        <s v="P0467"/>
        <s v="P0468"/>
        <s v="P0469"/>
        <s v="P0470"/>
        <s v="P0471"/>
        <s v="P0472"/>
        <s v="P0473"/>
        <s v="P0474"/>
        <s v="P0475"/>
        <s v="P0476"/>
        <s v="P0477"/>
        <s v="P0478"/>
        <s v="P0479"/>
        <s v="P0480"/>
        <s v="P0481"/>
        <s v="P0482"/>
        <s v="P0483"/>
        <s v="P0484"/>
        <s v="P0485"/>
        <s v="P0486"/>
        <s v="P0487"/>
        <s v="P0488"/>
        <s v="P0489"/>
        <s v="P0490"/>
        <s v="P0491"/>
        <s v="P0492"/>
        <s v="P0493"/>
        <s v="P0494"/>
        <s v="P0495"/>
        <s v="P0496"/>
        <s v="P0497"/>
        <s v="P0498"/>
        <s v="P0499"/>
        <s v="P0500"/>
        <s v="P0501"/>
        <s v="P0502"/>
        <s v="P0503"/>
        <s v="P0504"/>
        <s v="P0505"/>
        <s v="P0506"/>
        <s v="P0507"/>
        <s v="P0508"/>
        <s v="P0509"/>
        <s v="P0510"/>
        <s v="P0511"/>
        <s v="P0512"/>
        <s v="P0513"/>
        <s v="P0514"/>
        <s v="P0515"/>
        <s v="P0516"/>
        <s v="P0517"/>
        <s v="P0518"/>
        <s v="P0519"/>
        <s v="P0520"/>
      </sharedItems>
    </cacheField>
    <cacheField name="Visit_Date" numFmtId="22">
      <sharedItems containsSemiMixedTypes="0" containsNonDate="0" containsDate="1" containsString="0" minDate="2024-01-01T01:00:00" maxDate="2025-01-01T00:00:00" count="520">
        <d v="2024-01-01T01:00:00"/>
        <d v="2024-01-01T16:52:43"/>
        <d v="2024-01-02T09:45:26"/>
        <d v="2024-01-03T02:38:09"/>
        <d v="2024-01-03T19:30:52"/>
        <d v="2024-01-04T12:23:35"/>
        <d v="2024-01-05T05:16:18"/>
        <d v="2024-01-05T22:09:01"/>
        <d v="2024-01-06T15:01:44"/>
        <d v="2024-01-07T07:54:27"/>
        <d v="2024-01-08T00:47:10"/>
        <d v="2024-01-08T17:39:53"/>
        <d v="2024-01-09T10:32:36"/>
        <d v="2024-01-10T03:25:19"/>
        <d v="2024-01-10T20:18:02"/>
        <d v="2024-01-11T13:10:45"/>
        <d v="2024-01-12T06:03:28"/>
        <d v="2024-01-12T22:56:11"/>
        <d v="2024-01-13T15:48:54"/>
        <d v="2024-01-14T08:41:37"/>
        <d v="2024-01-15T01:34:20"/>
        <d v="2024-01-15T18:27:03"/>
        <d v="2024-01-16T11:19:46"/>
        <d v="2024-01-17T04:12:29"/>
        <d v="2024-01-17T21:05:12"/>
        <d v="2024-01-18T13:57:55"/>
        <d v="2024-01-19T06:50:38"/>
        <d v="2024-01-19T23:43:21"/>
        <d v="2024-01-20T16:36:04"/>
        <d v="2024-01-21T09:28:47"/>
        <d v="2024-01-22T02:21:30"/>
        <d v="2024-01-22T19:14:13"/>
        <d v="2024-01-23T12:06:56"/>
        <d v="2024-01-24T04:59:39"/>
        <d v="2024-01-24T21:52:22"/>
        <d v="2024-01-25T14:45:05"/>
        <d v="2024-01-26T07:37:48"/>
        <d v="2024-01-27T00:30:31"/>
        <d v="2024-01-27T17:23:14"/>
        <d v="2024-01-28T10:15:57"/>
        <d v="2024-01-29T03:08:40"/>
        <d v="2024-01-29T20:01:23"/>
        <d v="2024-01-30T12:54:06"/>
        <d v="2024-01-31T05:46:49"/>
        <d v="2024-01-31T22:39:32"/>
        <d v="2024-02-01T15:32:15"/>
        <d v="2024-02-02T08:24:58"/>
        <d v="2024-02-03T01:17:41"/>
        <d v="2024-02-03T18:10:24"/>
        <d v="2024-02-04T11:03:07"/>
        <d v="2024-02-05T03:55:50"/>
        <d v="2024-02-05T20:48:33"/>
        <d v="2024-02-06T13:41:16"/>
        <d v="2024-02-07T06:33:59"/>
        <d v="2024-02-07T23:26:42"/>
        <d v="2024-02-08T16:19:25"/>
        <d v="2024-02-09T09:12:08"/>
        <d v="2024-02-10T02:04:51"/>
        <d v="2024-02-10T18:57:34"/>
        <d v="2024-02-11T11:50:17"/>
        <d v="2024-02-12T04:43:00"/>
        <d v="2024-02-12T21:35:43"/>
        <d v="2024-02-13T14:28:26"/>
        <d v="2024-02-14T07:21:09"/>
        <d v="2024-02-15T00:13:52"/>
        <d v="2024-02-15T17:06:35"/>
        <d v="2024-02-16T09:59:18"/>
        <d v="2024-02-17T02:52:01"/>
        <d v="2024-02-17T19:44:44"/>
        <d v="2024-02-18T12:37:27"/>
        <d v="2024-02-19T05:30:10"/>
        <d v="2024-02-19T22:22:53"/>
        <d v="2024-02-20T15:15:36"/>
        <d v="2024-02-21T08:08:19"/>
        <d v="2024-02-22T01:01:02"/>
        <d v="2024-02-22T17:53:45"/>
        <d v="2024-02-23T10:46:28"/>
        <d v="2024-02-24T03:39:11"/>
        <d v="2024-02-24T20:31:54"/>
        <d v="2024-02-25T13:24:37"/>
        <d v="2024-02-26T06:17:20"/>
        <d v="2024-02-26T23:10:03"/>
        <d v="2024-02-27T16:02:46"/>
        <d v="2024-02-28T08:55:29"/>
        <d v="2024-02-29T01:48:12"/>
        <d v="2024-02-29T18:40:55"/>
        <d v="2024-03-01T11:33:38"/>
        <d v="2024-03-02T04:26:22"/>
        <d v="2024-03-02T21:19:05"/>
        <d v="2024-03-03T14:11:48"/>
        <d v="2024-03-04T07:04:31"/>
        <d v="2024-03-04T23:57:14"/>
        <d v="2024-03-05T16:49:57"/>
        <d v="2024-03-06T09:42:40"/>
        <d v="2024-03-07T02:35:23"/>
        <d v="2024-03-07T19:28:06"/>
        <d v="2024-03-08T12:20:49"/>
        <d v="2024-03-09T05:13:32"/>
        <d v="2024-03-09T22:06:15"/>
        <d v="2024-03-10T14:58:58"/>
        <d v="2024-03-11T07:51:41"/>
        <d v="2024-03-12T00:44:24"/>
        <d v="2024-03-12T17:37:07"/>
        <d v="2024-03-13T10:29:50"/>
        <d v="2024-03-14T03:22:33"/>
        <d v="2024-03-14T20:15:16"/>
        <d v="2024-03-15T13:07:59"/>
        <d v="2024-03-16T06:00:42"/>
        <d v="2024-03-16T22:53:25"/>
        <d v="2024-03-17T15:46:08"/>
        <d v="2024-03-18T08:38:51"/>
        <d v="2024-03-19T01:31:34"/>
        <d v="2024-03-19T18:24:17"/>
        <d v="2024-03-20T11:17:00"/>
        <d v="2024-03-21T04:09:43"/>
        <d v="2024-03-21T21:02:26"/>
        <d v="2024-03-22T13:55:09"/>
        <d v="2024-03-23T06:47:52"/>
        <d v="2024-03-23T23:40:35"/>
        <d v="2024-03-24T16:33:18"/>
        <d v="2024-03-25T09:26:01"/>
        <d v="2024-03-26T02:18:44"/>
        <d v="2024-03-26T19:11:27"/>
        <d v="2024-03-27T12:04:10"/>
        <d v="2024-03-28T04:56:53"/>
        <d v="2024-03-28T21:49:36"/>
        <d v="2024-03-29T14:42:19"/>
        <d v="2024-03-30T07:35:02"/>
        <d v="2024-03-31T00:27:45"/>
        <d v="2024-03-31T17:20:28"/>
        <d v="2024-04-01T10:13:11"/>
        <d v="2024-04-02T03:05:54"/>
        <d v="2024-04-02T19:58:37"/>
        <d v="2024-04-03T12:51:20"/>
        <d v="2024-04-04T05:44:03"/>
        <d v="2024-04-04T22:36:46"/>
        <d v="2024-04-05T15:29:29"/>
        <d v="2024-04-06T08:22:12"/>
        <d v="2024-04-07T01:14:55"/>
        <d v="2024-04-07T18:07:38"/>
        <d v="2024-04-08T11:00:21"/>
        <d v="2024-04-09T03:53:04"/>
        <d v="2024-04-09T20:45:47"/>
        <d v="2024-04-10T13:38:30"/>
        <d v="2024-04-11T06:31:13"/>
        <d v="2024-04-11T23:23:56"/>
        <d v="2024-04-12T16:16:39"/>
        <d v="2024-04-13T09:09:22"/>
        <d v="2024-04-14T02:02:05"/>
        <d v="2024-04-14T18:54:48"/>
        <d v="2024-04-15T11:47:31"/>
        <d v="2024-04-16T04:40:14"/>
        <d v="2024-04-16T21:32:57"/>
        <d v="2024-04-17T14:25:40"/>
        <d v="2024-04-18T07:18:23"/>
        <d v="2024-04-19T00:11:06"/>
        <d v="2024-04-19T17:03:49"/>
        <d v="2024-04-20T09:56:32"/>
        <d v="2024-04-21T02:49:15"/>
        <d v="2024-04-21T19:41:58"/>
        <d v="2024-04-22T12:34:41"/>
        <d v="2024-04-23T05:27:24"/>
        <d v="2024-04-23T22:20:07"/>
        <d v="2024-04-24T15:12:50"/>
        <d v="2024-04-25T08:05:33"/>
        <d v="2024-04-26T00:58:16"/>
        <d v="2024-04-26T17:50:59"/>
        <d v="2024-04-27T10:43:42"/>
        <d v="2024-04-28T03:36:25"/>
        <d v="2024-04-28T20:29:08"/>
        <d v="2024-04-29T13:21:51"/>
        <d v="2024-04-30T06:14:34"/>
        <d v="2024-04-30T23:07:17"/>
        <d v="2024-05-01T16:00:00"/>
        <d v="2024-05-02T08:52:43"/>
        <d v="2024-05-03T01:45:26"/>
        <d v="2024-05-03T18:38:09"/>
        <d v="2024-05-04T11:30:52"/>
        <d v="2024-05-05T04:23:35"/>
        <d v="2024-05-05T21:16:18"/>
        <d v="2024-05-06T14:09:01"/>
        <d v="2024-05-07T07:01:44"/>
        <d v="2024-05-07T23:54:27"/>
        <d v="2024-05-08T16:47:10"/>
        <d v="2024-05-09T09:39:53"/>
        <d v="2024-05-10T02:32:36"/>
        <d v="2024-05-10T19:25:19"/>
        <d v="2024-05-11T12:18:02"/>
        <d v="2024-05-12T05:10:45"/>
        <d v="2024-05-12T22:03:28"/>
        <d v="2024-05-13T14:56:11"/>
        <d v="2024-05-14T07:48:54"/>
        <d v="2024-05-15T00:41:37"/>
        <d v="2024-05-15T17:34:20"/>
        <d v="2024-05-16T10:27:03"/>
        <d v="2024-05-17T03:19:46"/>
        <d v="2024-05-17T20:12:29"/>
        <d v="2024-05-18T13:05:12"/>
        <d v="2024-05-19T05:57:55"/>
        <d v="2024-05-19T22:50:38"/>
        <d v="2024-05-20T15:43:21"/>
        <d v="2024-05-21T08:36:04"/>
        <d v="2024-05-22T01:28:47"/>
        <d v="2024-05-22T18:21:30"/>
        <d v="2024-05-23T11:14:13"/>
        <d v="2024-05-24T04:06:56"/>
        <d v="2024-05-24T20:59:39"/>
        <d v="2024-05-25T13:52:22"/>
        <d v="2024-05-26T06:45:05"/>
        <d v="2024-05-26T23:37:48"/>
        <d v="2024-05-27T16:30:31"/>
        <d v="2024-05-28T09:23:14"/>
        <d v="2024-05-29T02:15:57"/>
        <d v="2024-05-29T19:08:40"/>
        <d v="2024-05-30T12:01:23"/>
        <d v="2024-05-31T04:54:06"/>
        <d v="2024-05-31T21:46:49"/>
        <d v="2024-06-01T14:39:32"/>
        <d v="2024-06-02T07:32:15"/>
        <d v="2024-06-03T00:24:58"/>
        <d v="2024-06-03T17:17:41"/>
        <d v="2024-06-04T10:10:24"/>
        <d v="2024-06-05T03:03:07"/>
        <d v="2024-06-05T19:55:50"/>
        <d v="2024-06-06T12:48:33"/>
        <d v="2024-06-07T05:41:16"/>
        <d v="2024-06-07T22:33:59"/>
        <d v="2024-06-08T15:26:42"/>
        <d v="2024-06-09T08:19:25"/>
        <d v="2024-06-10T01:12:08"/>
        <d v="2024-06-10T18:04:51"/>
        <d v="2024-06-11T10:57:34"/>
        <d v="2024-06-12T03:50:17"/>
        <d v="2024-06-12T20:43:00"/>
        <d v="2024-06-13T13:35:43"/>
        <d v="2024-06-14T06:28:26"/>
        <d v="2024-06-14T23:21:09"/>
        <d v="2024-06-15T16:13:52"/>
        <d v="2024-06-16T09:06:35"/>
        <d v="2024-06-17T01:59:18"/>
        <d v="2024-06-17T18:52:01"/>
        <d v="2024-06-18T11:44:44"/>
        <d v="2024-06-19T04:37:27"/>
        <d v="2024-06-19T21:30:10"/>
        <d v="2024-06-20T14:22:53"/>
        <d v="2024-06-21T07:15:36"/>
        <d v="2024-06-22T00:08:19"/>
        <d v="2024-06-22T17:01:02"/>
        <d v="2024-06-23T09:53:45"/>
        <d v="2024-06-24T02:46:28"/>
        <d v="2024-06-24T19:39:11"/>
        <d v="2024-06-25T12:31:54"/>
        <d v="2024-06-26T05:24:37"/>
        <d v="2024-06-26T22:17:20"/>
        <d v="2024-06-27T15:10:03"/>
        <d v="2024-06-28T08:02:46"/>
        <d v="2024-06-29T00:55:29"/>
        <d v="2024-06-29T17:48:12"/>
        <d v="2024-06-30T10:40:55"/>
        <d v="2024-07-01T03:33:38"/>
        <d v="2024-07-01T20:26:22"/>
        <d v="2024-07-02T13:19:05"/>
        <d v="2024-07-03T06:11:48"/>
        <d v="2024-07-03T23:04:31"/>
        <d v="2024-07-04T15:57:14"/>
        <d v="2024-07-05T08:49:57"/>
        <d v="2024-07-06T01:42:40"/>
        <d v="2024-07-06T18:35:23"/>
        <d v="2024-07-07T11:28:06"/>
        <d v="2024-07-08T04:20:49"/>
        <d v="2024-07-08T21:13:32"/>
        <d v="2024-07-09T14:06:15"/>
        <d v="2024-07-10T06:58:58"/>
        <d v="2024-07-10T23:51:41"/>
        <d v="2024-07-11T16:44:24"/>
        <d v="2024-07-12T09:37:07"/>
        <d v="2024-07-13T02:29:50"/>
        <d v="2024-07-13T19:22:33"/>
        <d v="2024-07-14T12:15:16"/>
        <d v="2024-07-15T05:07:59"/>
        <d v="2024-07-15T22:00:42"/>
        <d v="2024-07-16T14:53:25"/>
        <d v="2024-07-17T07:46:08"/>
        <d v="2024-07-18T00:38:51"/>
        <d v="2024-07-18T17:31:34"/>
        <d v="2024-07-19T10:24:17"/>
        <d v="2024-07-20T03:17:00"/>
        <d v="2024-07-20T20:09:43"/>
        <d v="2024-07-21T13:02:26"/>
        <d v="2024-07-22T05:55:09"/>
        <d v="2024-07-22T22:47:52"/>
        <d v="2024-07-23T15:40:35"/>
        <d v="2024-07-24T08:33:18"/>
        <d v="2024-07-25T01:26:01"/>
        <d v="2024-07-25T18:18:44"/>
        <d v="2024-07-26T11:11:27"/>
        <d v="2024-07-27T04:04:10"/>
        <d v="2024-07-27T20:56:53"/>
        <d v="2024-07-28T13:49:36"/>
        <d v="2024-07-29T06:42:19"/>
        <d v="2024-07-29T23:35:02"/>
        <d v="2024-07-30T16:27:45"/>
        <d v="2024-07-31T09:20:28"/>
        <d v="2024-08-01T02:13:11"/>
        <d v="2024-08-01T19:05:54"/>
        <d v="2024-08-02T11:58:37"/>
        <d v="2024-08-03T04:51:20"/>
        <d v="2024-08-03T21:44:03"/>
        <d v="2024-08-04T14:36:46"/>
        <d v="2024-08-05T07:29:29"/>
        <d v="2024-08-06T00:22:12"/>
        <d v="2024-08-06T17:14:55"/>
        <d v="2024-08-07T10:07:38"/>
        <d v="2024-08-08T03:00:21"/>
        <d v="2024-08-08T19:53:04"/>
        <d v="2024-08-09T12:45:47"/>
        <d v="2024-08-10T05:38:30"/>
        <d v="2024-08-10T22:31:13"/>
        <d v="2024-08-11T15:23:56"/>
        <d v="2024-08-12T08:16:39"/>
        <d v="2024-08-13T01:09:22"/>
        <d v="2024-08-13T18:02:05"/>
        <d v="2024-08-14T10:54:48"/>
        <d v="2024-08-15T03:47:31"/>
        <d v="2024-08-15T20:40:14"/>
        <d v="2024-08-16T13:32:57"/>
        <d v="2024-08-17T06:25:40"/>
        <d v="2024-08-17T23:18:23"/>
        <d v="2024-08-18T16:11:06"/>
        <d v="2024-08-19T09:03:49"/>
        <d v="2024-08-20T01:56:32"/>
        <d v="2024-08-20T18:49:15"/>
        <d v="2024-08-21T11:41:58"/>
        <d v="2024-08-22T04:34:41"/>
        <d v="2024-08-22T21:27:24"/>
        <d v="2024-08-23T14:20:07"/>
        <d v="2024-08-24T07:12:50"/>
        <d v="2024-08-25T00:05:33"/>
        <d v="2024-08-25T16:58:16"/>
        <d v="2024-08-26T09:50:59"/>
        <d v="2024-08-27T02:43:42"/>
        <d v="2024-08-27T19:36:25"/>
        <d v="2024-08-28T12:29:08"/>
        <d v="2024-08-29T05:21:51"/>
        <d v="2024-08-29T22:14:34"/>
        <d v="2024-08-30T15:07:17"/>
        <d v="2024-08-31T08:00:00"/>
        <d v="2024-09-01T00:52:43"/>
        <d v="2024-09-01T17:45:26"/>
        <d v="2024-09-02T10:38:09"/>
        <d v="2024-09-03T03:30:52"/>
        <d v="2024-09-03T20:23:35"/>
        <d v="2024-09-04T13:16:18"/>
        <d v="2024-09-05T06:09:01"/>
        <d v="2024-09-05T23:01:44"/>
        <d v="2024-09-06T15:54:27"/>
        <d v="2024-09-07T08:47:10"/>
        <d v="2024-09-08T01:39:53"/>
        <d v="2024-09-08T18:32:36"/>
        <d v="2024-09-09T11:25:19"/>
        <d v="2024-09-10T04:18:02"/>
        <d v="2024-09-10T21:10:45"/>
        <d v="2024-09-11T14:03:28"/>
        <d v="2024-09-12T06:56:11"/>
        <d v="2024-09-12T23:48:54"/>
        <d v="2024-09-13T16:41:37"/>
        <d v="2024-09-14T09:34:20"/>
        <d v="2024-09-15T02:27:03"/>
        <d v="2024-09-15T19:19:46"/>
        <d v="2024-09-16T12:12:29"/>
        <d v="2024-09-17T05:05:12"/>
        <d v="2024-09-17T21:57:55"/>
        <d v="2024-09-18T14:50:38"/>
        <d v="2024-09-19T07:43:21"/>
        <d v="2024-09-20T00:36:04"/>
        <d v="2024-09-20T17:28:47"/>
        <d v="2024-09-21T10:21:30"/>
        <d v="2024-09-22T03:14:13"/>
        <d v="2024-09-22T20:06:56"/>
        <d v="2024-09-23T12:59:39"/>
        <d v="2024-09-24T05:52:22"/>
        <d v="2024-09-24T22:45:05"/>
        <d v="2024-09-25T15:37:48"/>
        <d v="2024-09-26T08:30:31"/>
        <d v="2024-09-27T01:23:14"/>
        <d v="2024-09-27T18:15:57"/>
        <d v="2024-09-28T11:08:40"/>
        <d v="2024-09-29T04:01:23"/>
        <d v="2024-09-29T20:54:06"/>
        <d v="2024-09-30T13:46:49"/>
        <d v="2024-10-01T06:39:32"/>
        <d v="2024-10-01T23:32:15"/>
        <d v="2024-10-02T16:24:58"/>
        <d v="2024-10-03T09:17:41"/>
        <d v="2024-10-04T02:10:24"/>
        <d v="2024-10-04T19:03:07"/>
        <d v="2024-10-05T11:55:50"/>
        <d v="2024-10-06T04:48:33"/>
        <d v="2024-10-06T21:41:16"/>
        <d v="2024-10-07T14:33:59"/>
        <d v="2024-10-08T07:26:42"/>
        <d v="2024-10-09T00:19:25"/>
        <d v="2024-10-09T17:12:08"/>
        <d v="2024-10-10T10:04:51"/>
        <d v="2024-10-11T02:57:34"/>
        <d v="2024-10-11T19:50:17"/>
        <d v="2024-10-12T12:43:00"/>
        <d v="2024-10-13T05:35:43"/>
        <d v="2024-10-13T22:28:26"/>
        <d v="2024-10-14T15:21:09"/>
        <d v="2024-10-15T08:13:52"/>
        <d v="2024-10-16T01:06:35"/>
        <d v="2024-10-16T17:59:18"/>
        <d v="2024-10-17T10:52:01"/>
        <d v="2024-10-18T03:44:44"/>
        <d v="2024-10-18T20:37:27"/>
        <d v="2024-10-19T13:30:10"/>
        <d v="2024-10-20T06:22:53"/>
        <d v="2024-10-20T23:15:36"/>
        <d v="2024-10-21T16:08:19"/>
        <d v="2024-10-22T09:01:02"/>
        <d v="2024-10-23T01:53:45"/>
        <d v="2024-10-23T18:46:28"/>
        <d v="2024-10-24T11:39:11"/>
        <d v="2024-10-25T04:31:54"/>
        <d v="2024-10-25T21:24:37"/>
        <d v="2024-10-26T14:17:20"/>
        <d v="2024-10-27T07:10:03"/>
        <d v="2024-10-28T00:02:46"/>
        <d v="2024-10-28T16:55:29"/>
        <d v="2024-10-29T09:48:12"/>
        <d v="2024-10-30T02:40:55"/>
        <d v="2024-10-30T19:33:38"/>
        <d v="2024-10-31T12:26:22"/>
        <d v="2024-11-01T05:19:05"/>
        <d v="2024-11-01T22:11:48"/>
        <d v="2024-11-02T15:04:31"/>
        <d v="2024-11-03T07:57:14"/>
        <d v="2024-11-04T00:49:57"/>
        <d v="2024-11-04T17:42:40"/>
        <d v="2024-11-05T10:35:23"/>
        <d v="2024-11-06T03:28:06"/>
        <d v="2024-11-06T20:20:49"/>
        <d v="2024-11-07T13:13:32"/>
        <d v="2024-11-08T06:06:15"/>
        <d v="2024-11-08T22:58:58"/>
        <d v="2024-11-09T15:51:41"/>
        <d v="2024-11-10T08:44:24"/>
        <d v="2024-11-11T01:37:07"/>
        <d v="2024-11-11T18:29:50"/>
        <d v="2024-11-12T11:22:33"/>
        <d v="2024-11-13T04:15:16"/>
        <d v="2024-11-13T21:07:59"/>
        <d v="2024-11-14T14:00:42"/>
        <d v="2024-11-15T06:53:25"/>
        <d v="2024-11-15T23:46:08"/>
        <d v="2024-11-16T16:38:51"/>
        <d v="2024-11-17T09:31:34"/>
        <d v="2024-11-18T02:24:17"/>
        <d v="2024-11-18T19:17:00"/>
        <d v="2024-11-19T12:09:43"/>
        <d v="2024-11-20T05:02:26"/>
        <d v="2024-11-20T21:55:09"/>
        <d v="2024-11-21T14:47:52"/>
        <d v="2024-11-22T07:40:35"/>
        <d v="2024-11-23T00:33:18"/>
        <d v="2024-11-23T17:26:01"/>
        <d v="2024-11-24T10:18:44"/>
        <d v="2024-11-25T03:11:27"/>
        <d v="2024-11-25T20:04:10"/>
        <d v="2024-11-26T12:56:53"/>
        <d v="2024-11-27T05:49:36"/>
        <d v="2024-11-27T22:42:19"/>
        <d v="2024-11-28T15:35:02"/>
        <d v="2024-11-29T08:27:45"/>
        <d v="2024-11-30T01:20:28"/>
        <d v="2024-11-30T18:13:11"/>
        <d v="2024-12-01T11:05:54"/>
        <d v="2024-12-02T03:58:37"/>
        <d v="2024-12-02T20:51:20"/>
        <d v="2024-12-03T13:44:03"/>
        <d v="2024-12-04T06:36:46"/>
        <d v="2024-12-04T23:29:29"/>
        <d v="2024-12-05T16:22:12"/>
        <d v="2024-12-06T09:14:55"/>
        <d v="2024-12-07T02:07:38"/>
        <d v="2024-12-07T19:00:21"/>
        <d v="2024-12-08T11:53:04"/>
        <d v="2024-12-09T04:45:47"/>
        <d v="2024-12-09T21:38:30"/>
        <d v="2024-12-10T14:31:13"/>
        <d v="2024-12-11T07:23:56"/>
        <d v="2024-12-12T00:16:39"/>
        <d v="2024-12-12T17:09:22"/>
        <d v="2024-12-13T10:02:05"/>
        <d v="2024-12-14T02:54:48"/>
        <d v="2024-12-14T19:47:31"/>
        <d v="2024-12-15T12:40:14"/>
        <d v="2024-12-16T05:32:57"/>
        <d v="2024-12-16T22:25:40"/>
        <d v="2024-12-17T15:18:23"/>
        <d v="2024-12-18T08:11:06"/>
        <d v="2024-12-19T01:03:49"/>
        <d v="2024-12-19T17:56:32"/>
        <d v="2024-12-20T10:49:15"/>
        <d v="2024-12-21T03:41:58"/>
        <d v="2024-12-21T20:34:41"/>
        <d v="2024-12-22T13:27:24"/>
        <d v="2024-12-23T06:20:07"/>
        <d v="2024-12-23T23:12:50"/>
        <d v="2024-12-24T16:05:33"/>
        <d v="2024-12-25T08:58:16"/>
        <d v="2024-12-26T01:50:59"/>
        <d v="2024-12-26T18:43:42"/>
        <d v="2024-12-27T11:36:25"/>
        <d v="2024-12-28T04:29:08"/>
        <d v="2024-12-28T21:21:51"/>
        <d v="2024-12-29T14:14:34"/>
        <d v="2024-12-30T07:07:17"/>
        <d v="2024-12-31T00:00:00"/>
      </sharedItems>
      <fieldGroup par="9" base="1">
        <rangePr groupBy="days" startDate="2024-01-01T01:00:00" endDate="2025-01-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t"/>
          <s v="02-Sept"/>
          <s v="03-Sept"/>
          <s v="04-Sept"/>
          <s v="05-Sept"/>
          <s v="06-Sept"/>
          <s v="07-Sept"/>
          <s v="08-Sept"/>
          <s v="09-Sept"/>
          <s v="10-Sept"/>
          <s v="11-Sept"/>
          <s v="12-Sept"/>
          <s v="13-Sept"/>
          <s v="14-Sept"/>
          <s v="15-Sept"/>
          <s v="16-Sept"/>
          <s v="17-Sept"/>
          <s v="18-Sept"/>
          <s v="19-Sept"/>
          <s v="20-Sept"/>
          <s v="21-Sept"/>
          <s v="22-Sept"/>
          <s v="23-Sept"/>
          <s v="24-Sept"/>
          <s v="25-Sept"/>
          <s v="26-Sept"/>
          <s v="27-Sept"/>
          <s v="28-Sept"/>
          <s v="29-Sept"/>
          <s v="30-Sept"/>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5"/>
        </groupItems>
      </fieldGroup>
    </cacheField>
    <cacheField name="Age" numFmtId="0">
      <sharedItems containsSemiMixedTypes="0" containsString="0" containsNumber="1" containsInteger="1" minValue="1" maxValue="89" count="89">
        <n v="38"/>
        <n v="13"/>
        <n v="73"/>
        <n v="10"/>
        <n v="76"/>
        <n v="6"/>
        <n v="80"/>
        <n v="65"/>
        <n v="17"/>
        <n v="2"/>
        <n v="77"/>
        <n v="72"/>
        <n v="7"/>
        <n v="26"/>
        <n v="51"/>
        <n v="21"/>
        <n v="19"/>
        <n v="85"/>
        <n v="12"/>
        <n v="29"/>
        <n v="30"/>
        <n v="15"/>
        <n v="69"/>
        <n v="88"/>
        <n v="87"/>
        <n v="14"/>
        <n v="8"/>
        <n v="64"/>
        <n v="62"/>
        <n v="23"/>
        <n v="58"/>
        <n v="1"/>
        <n v="61"/>
        <n v="82"/>
        <n v="9"/>
        <n v="89"/>
        <n v="48"/>
        <n v="31"/>
        <n v="4"/>
        <n v="71"/>
        <n v="22"/>
        <n v="50"/>
        <n v="25"/>
        <n v="44"/>
        <n v="27"/>
        <n v="53"/>
        <n v="81"/>
        <n v="42"/>
        <n v="83"/>
        <n v="16"/>
        <n v="68"/>
        <n v="24"/>
        <n v="28"/>
        <n v="84"/>
        <n v="39"/>
        <n v="33"/>
        <n v="35"/>
        <n v="11"/>
        <n v="75"/>
        <n v="63"/>
        <n v="47"/>
        <n v="56"/>
        <n v="66"/>
        <n v="78"/>
        <n v="86"/>
        <n v="3"/>
        <n v="37"/>
        <n v="46"/>
        <n v="55"/>
        <n v="67"/>
        <n v="49"/>
        <n v="18"/>
        <n v="43"/>
        <n v="54"/>
        <n v="57"/>
        <n v="60"/>
        <n v="70"/>
        <n v="41"/>
        <n v="79"/>
        <n v="36"/>
        <n v="34"/>
        <n v="32"/>
        <n v="45"/>
        <n v="20"/>
        <n v="40"/>
        <n v="52"/>
        <n v="59"/>
        <n v="74"/>
        <n v="5"/>
      </sharedItems>
    </cacheField>
    <cacheField name="Gender" numFmtId="0">
      <sharedItems/>
    </cacheField>
    <cacheField name="Disease" numFmtId="0">
      <sharedItems count="8">
        <s v="Diabetes"/>
        <s v="Hypertension"/>
        <s v="Infection"/>
        <s v="Asthma"/>
        <s v="Flu"/>
        <s v="Arthritis"/>
        <s v="Migraine"/>
        <s v="Heart Disease"/>
      </sharedItems>
    </cacheField>
    <cacheField name="Doctor" numFmtId="0">
      <sharedItems/>
    </cacheField>
    <cacheField name="Hospital" numFmtId="0">
      <sharedItems count="4">
        <s v="National Hospital"/>
        <s v="City Hospital"/>
        <s v="Care Clinic"/>
        <s v="Health Plus"/>
      </sharedItems>
    </cacheField>
    <cacheField name="Treatment_Cost" numFmtId="0">
      <sharedItems containsSemiMixedTypes="0" containsString="0" containsNumber="1" containsInteger="1" minValue="64" maxValue="2996" count="477">
        <n v="966"/>
        <n v="1260"/>
        <n v="1179"/>
        <n v="1605"/>
        <n v="1559"/>
        <n v="479"/>
        <n v="1661"/>
        <n v="1367"/>
        <n v="518"/>
        <n v="724"/>
        <n v="2225"/>
        <n v="1203"/>
        <n v="2394"/>
        <n v="1031"/>
        <n v="1495"/>
        <n v="1772"/>
        <n v="2489"/>
        <n v="202"/>
        <n v="2076"/>
        <n v="2309"/>
        <n v="1499"/>
        <n v="400"/>
        <n v="333"/>
        <n v="1490"/>
        <n v="704"/>
        <n v="1471"/>
        <n v="384"/>
        <n v="1642"/>
        <n v="2575"/>
        <n v="2641"/>
        <n v="1230"/>
        <n v="814"/>
        <n v="1918"/>
        <n v="2228"/>
        <n v="2926"/>
        <n v="1645"/>
        <n v="2938"/>
        <n v="2241"/>
        <n v="2083"/>
        <n v="772"/>
        <n v="1262"/>
        <n v="2986"/>
        <n v="2198"/>
        <n v="878"/>
        <n v="2018"/>
        <n v="2180"/>
        <n v="2106"/>
        <n v="502"/>
        <n v="1307"/>
        <n v="1521"/>
        <n v="1000"/>
        <n v="1343"/>
        <n v="1647"/>
        <n v="1147"/>
        <n v="2300"/>
        <n v="1782"/>
        <n v="1053"/>
        <n v="74"/>
        <n v="843"/>
        <n v="1107"/>
        <n v="2116"/>
        <n v="2736"/>
        <n v="864"/>
        <n v="2361"/>
        <n v="2606"/>
        <n v="88"/>
        <n v="2659"/>
        <n v="936"/>
        <n v="2112"/>
        <n v="2078"/>
        <n v="2883"/>
        <n v="1631"/>
        <n v="2475"/>
        <n v="2795"/>
        <n v="1438"/>
        <n v="2217"/>
        <n v="2599"/>
        <n v="1919"/>
        <n v="337"/>
        <n v="2723"/>
        <n v="1004"/>
        <n v="2121"/>
        <n v="2391"/>
        <n v="1116"/>
        <n v="783"/>
        <n v="415"/>
        <n v="2578"/>
        <n v="2252"/>
        <n v="96"/>
        <n v="964"/>
        <n v="729"/>
        <n v="1625"/>
        <n v="2232"/>
        <n v="2460"/>
        <n v="118"/>
        <n v="2722"/>
        <n v="89"/>
        <n v="2400"/>
        <n v="1863"/>
        <n v="373"/>
        <n v="2171"/>
        <n v="1302"/>
        <n v="1098"/>
        <n v="249"/>
        <n v="2130"/>
        <n v="2035"/>
        <n v="2745"/>
        <n v="2868"/>
        <n v="790"/>
        <n v="1042"/>
        <n v="2630"/>
        <n v="647"/>
        <n v="1168"/>
        <n v="1493"/>
        <n v="733"/>
        <n v="742"/>
        <n v="1681"/>
        <n v="331"/>
        <n v="153"/>
        <n v="1291"/>
        <n v="741"/>
        <n v="1141"/>
        <n v="454"/>
        <n v="177"/>
        <n v="1273"/>
        <n v="513"/>
        <n v="1594"/>
        <n v="2030"/>
        <n v="362"/>
        <n v="2144"/>
        <n v="883"/>
        <n v="2983"/>
        <n v="1855"/>
        <n v="456"/>
        <n v="1869"/>
        <n v="459"/>
        <n v="1961"/>
        <n v="2499"/>
        <n v="533"/>
        <n v="1746"/>
        <n v="2319"/>
        <n v="1690"/>
        <n v="320"/>
        <n v="1126"/>
        <n v="1995"/>
        <n v="1518"/>
        <n v="1413"/>
        <n v="1832"/>
        <n v="2550"/>
        <n v="2334"/>
        <n v="2827"/>
        <n v="2965"/>
        <n v="2124"/>
        <n v="2815"/>
        <n v="1355"/>
        <n v="1020"/>
        <n v="1021"/>
        <n v="2373"/>
        <n v="699"/>
        <n v="2425"/>
        <n v="2791"/>
        <n v="2330"/>
        <n v="1652"/>
        <n v="1546"/>
        <n v="308"/>
        <n v="519"/>
        <n v="192"/>
        <n v="319"/>
        <n v="2451"/>
        <n v="1711"/>
        <n v="644"/>
        <n v="2159"/>
        <n v="2603"/>
        <n v="2051"/>
        <n v="2237"/>
        <n v="2014"/>
        <n v="2613"/>
        <n v="2620"/>
        <n v="81"/>
        <n v="1694"/>
        <n v="141"/>
        <n v="1810"/>
        <n v="664"/>
        <n v="164"/>
        <n v="2383"/>
        <n v="2409"/>
        <n v="2131"/>
        <n v="2651"/>
        <n v="413"/>
        <n v="2203"/>
        <n v="2275"/>
        <n v="1415"/>
        <n v="1255"/>
        <n v="2079"/>
        <n v="1762"/>
        <n v="562"/>
        <n v="856"/>
        <n v="825"/>
        <n v="2375"/>
        <n v="1601"/>
        <n v="2729"/>
        <n v="2545"/>
        <n v="403"/>
        <n v="1316"/>
        <n v="720"/>
        <n v="210"/>
        <n v="1914"/>
        <n v="1758"/>
        <n v="730"/>
        <n v="1397"/>
        <n v="1738"/>
        <n v="2916"/>
        <n v="2786"/>
        <n v="933"/>
        <n v="1510"/>
        <n v="2385"/>
        <n v="307"/>
        <n v="1522"/>
        <n v="1052"/>
        <n v="1489"/>
        <n v="1780"/>
        <n v="2781"/>
        <n v="1241"/>
        <n v="2226"/>
        <n v="2271"/>
        <n v="2609"/>
        <n v="463"/>
        <n v="2718"/>
        <n v="2218"/>
        <n v="2476"/>
        <n v="2741"/>
        <n v="583"/>
        <n v="1157"/>
        <n v="1409"/>
        <n v="496"/>
        <n v="1911"/>
        <n v="560"/>
        <n v="2874"/>
        <n v="1530"/>
        <n v="2733"/>
        <n v="2705"/>
        <n v="2174"/>
        <n v="1146"/>
        <n v="1910"/>
        <n v="1539"/>
        <n v="2033"/>
        <n v="2406"/>
        <n v="2903"/>
        <n v="997"/>
        <n v="2866"/>
        <n v="1993"/>
        <n v="2331"/>
        <n v="2504"/>
        <n v="2697"/>
        <n v="621"/>
        <n v="570"/>
        <n v="181"/>
        <n v="535"/>
        <n v="420"/>
        <n v="2240"/>
        <n v="2805"/>
        <n v="2132"/>
        <n v="2526"/>
        <n v="2652"/>
        <n v="1748"/>
        <n v="128"/>
        <n v="2414"/>
        <n v="2677"/>
        <n v="1244"/>
        <n v="1270"/>
        <n v="2987"/>
        <n v="1243"/>
        <n v="217"/>
        <n v="1794"/>
        <n v="2524"/>
        <n v="885"/>
        <n v="2607"/>
        <n v="1556"/>
        <n v="2635"/>
        <n v="2085"/>
        <n v="1847"/>
        <n v="2471"/>
        <n v="123"/>
        <n v="64"/>
        <n v="2145"/>
        <n v="1657"/>
        <n v="179"/>
        <n v="2515"/>
        <n v="248"/>
        <n v="1817"/>
        <n v="965"/>
        <n v="2881"/>
        <n v="2467"/>
        <n v="172"/>
        <n v="659"/>
        <n v="2849"/>
        <n v="1177"/>
        <n v="916"/>
        <n v="1399"/>
        <n v="2517"/>
        <n v="1635"/>
        <n v="2819"/>
        <n v="586"/>
        <n v="785"/>
        <n v="72"/>
        <n v="1695"/>
        <n v="723"/>
        <n v="2000"/>
        <n v="1970"/>
        <n v="1689"/>
        <n v="1311"/>
        <n v="213"/>
        <n v="2348"/>
        <n v="1759"/>
        <n v="2362"/>
        <n v="731"/>
        <n v="2844"/>
        <n v="2333"/>
        <n v="538"/>
        <n v="727"/>
        <n v="671"/>
        <n v="345"/>
        <n v="2236"/>
        <n v="2152"/>
        <n v="1708"/>
        <n v="670"/>
        <n v="685"/>
        <n v="2842"/>
        <n v="1225"/>
        <n v="2179"/>
        <n v="370"/>
        <n v="1945"/>
        <n v="387"/>
        <n v="1667"/>
        <n v="527"/>
        <n v="1984"/>
        <n v="80"/>
        <n v="1496"/>
        <n v="1196"/>
        <n v="1426"/>
        <n v="2825"/>
        <n v="946"/>
        <n v="2586"/>
        <n v="220"/>
        <n v="836"/>
        <n v="434"/>
        <n v="2064"/>
        <n v="1529"/>
        <n v="1912"/>
        <n v="291"/>
        <n v="2919"/>
        <n v="425"/>
        <n v="346"/>
        <n v="1866"/>
        <n v="2062"/>
        <n v="634"/>
        <n v="2358"/>
        <n v="2127"/>
        <n v="725"/>
        <n v="1122"/>
        <n v="976"/>
        <n v="353"/>
        <n v="2597"/>
        <n v="1921"/>
        <n v="697"/>
        <n v="2534"/>
        <n v="827"/>
        <n v="2122"/>
        <n v="1893"/>
        <n v="391"/>
        <n v="397"/>
        <n v="677"/>
        <n v="1917"/>
        <n v="899"/>
        <n v="495"/>
        <n v="1370"/>
        <n v="1502"/>
        <n v="2857"/>
        <n v="626"/>
        <n v="1218"/>
        <n v="2956"/>
        <n v="1475"/>
        <n v="749"/>
        <n v="2316"/>
        <n v="938"/>
        <n v="1577"/>
        <n v="599"/>
        <n v="1029"/>
        <n v="1953"/>
        <n v="2265"/>
        <n v="1501"/>
        <n v="524"/>
        <n v="848"/>
        <n v="1531"/>
        <n v="1265"/>
        <n v="1804"/>
        <n v="2402"/>
        <n v="2797"/>
        <n v="2700"/>
        <n v="423"/>
        <n v="2055"/>
        <n v="2872"/>
        <n v="254"/>
        <n v="812"/>
        <n v="2461"/>
        <n v="1839"/>
        <n v="1317"/>
        <n v="520"/>
        <n v="1246"/>
        <n v="1812"/>
        <n v="1586"/>
        <n v="679"/>
        <n v="2969"/>
        <n v="429"/>
        <n v="2264"/>
        <n v="196"/>
        <n v="559"/>
        <n v="2583"/>
        <n v="515"/>
        <n v="1366"/>
        <n v="866"/>
        <n v="1461"/>
        <n v="167"/>
        <n v="549"/>
        <n v="2530"/>
        <n v="2442"/>
        <n v="875"/>
        <n v="1858"/>
        <n v="881"/>
        <n v="2184"/>
        <n v="2210"/>
        <n v="1619"/>
        <n v="1424"/>
        <n v="1361"/>
        <n v="1240"/>
        <n v="2199"/>
        <n v="1639"/>
        <n v="2878"/>
        <n v="1686"/>
        <n v="1754"/>
        <n v="2992"/>
        <n v="2371"/>
        <n v="2304"/>
        <n v="876"/>
        <n v="277"/>
        <n v="1233"/>
        <n v="1616"/>
        <n v="1682"/>
        <n v="2374"/>
        <n v="440"/>
        <n v="168"/>
        <n v="925"/>
        <n v="85"/>
        <n v="2683"/>
        <n v="472"/>
        <n v="1258"/>
        <n v="633"/>
        <n v="757"/>
        <n v="609"/>
        <n v="1651"/>
        <n v="967"/>
        <n v="2137"/>
        <n v="2996"/>
        <n v="2601"/>
        <n v="218"/>
        <n v="940"/>
        <n v="2175"/>
        <n v="1373"/>
        <n v="2693"/>
        <n v="2925"/>
        <n v="2164"/>
        <n v="640"/>
        <n v="1543"/>
        <n v="2347"/>
        <n v="1199"/>
        <n v="1727"/>
        <n v="1888"/>
      </sharedItems>
    </cacheField>
    <cacheField name="Insurance" numFmtId="0">
      <sharedItems count="2">
        <s v="No"/>
        <s v="Yes"/>
      </sharedItems>
    </cacheField>
    <cacheField name="Months" numFmtId="0" databaseField="0">
      <fieldGroup base="1">
        <rangePr groupBy="months" startDate="2024-01-01T01:00:00" endDate="2025-01-01T00:00:00"/>
        <groupItems count="14">
          <s v="&lt;01/01/2024"/>
          <s v="Jan"/>
          <s v="Feb"/>
          <s v="Mar"/>
          <s v="Apr"/>
          <s v="May"/>
          <s v="Jun"/>
          <s v="Jul"/>
          <s v="Aug"/>
          <s v="Sept"/>
          <s v="Oct"/>
          <s v="Nov"/>
          <s v="Dec"/>
          <s v="&gt;01/01/2025"/>
        </groupItems>
      </fieldGroup>
    </cacheField>
  </cacheFields>
  <extLst>
    <ext xmlns:x14="http://schemas.microsoft.com/office/spreadsheetml/2009/9/main" uri="{725AE2AE-9491-48be-B2B4-4EB974FC3084}">
      <x14:pivotCacheDefinition pivotCacheId="8563757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0">
  <r>
    <x v="0"/>
    <x v="0"/>
    <x v="0"/>
    <s v="Male"/>
    <x v="0"/>
    <s v="Dr. Emma"/>
    <x v="0"/>
    <x v="0"/>
    <x v="0"/>
  </r>
  <r>
    <x v="1"/>
    <x v="1"/>
    <x v="1"/>
    <s v="Female"/>
    <x v="1"/>
    <s v="Dr. David"/>
    <x v="1"/>
    <x v="1"/>
    <x v="1"/>
  </r>
  <r>
    <x v="2"/>
    <x v="2"/>
    <x v="2"/>
    <s v="Male"/>
    <x v="2"/>
    <s v="Dr. Sara"/>
    <x v="1"/>
    <x v="2"/>
    <x v="0"/>
  </r>
  <r>
    <x v="3"/>
    <x v="3"/>
    <x v="3"/>
    <s v="Female"/>
    <x v="1"/>
    <s v="Dr. Maria"/>
    <x v="2"/>
    <x v="3"/>
    <x v="0"/>
  </r>
  <r>
    <x v="4"/>
    <x v="4"/>
    <x v="4"/>
    <s v="Female"/>
    <x v="3"/>
    <s v="Dr. David"/>
    <x v="1"/>
    <x v="4"/>
    <x v="1"/>
  </r>
  <r>
    <x v="5"/>
    <x v="5"/>
    <x v="5"/>
    <s v="Male"/>
    <x v="4"/>
    <s v="Dr. John"/>
    <x v="1"/>
    <x v="5"/>
    <x v="0"/>
  </r>
  <r>
    <x v="6"/>
    <x v="6"/>
    <x v="6"/>
    <s v="Male"/>
    <x v="5"/>
    <s v="Dr. Ahmed"/>
    <x v="1"/>
    <x v="6"/>
    <x v="0"/>
  </r>
  <r>
    <x v="7"/>
    <x v="7"/>
    <x v="7"/>
    <s v="Female"/>
    <x v="6"/>
    <s v="Dr. Maria"/>
    <x v="1"/>
    <x v="7"/>
    <x v="1"/>
  </r>
  <r>
    <x v="8"/>
    <x v="8"/>
    <x v="8"/>
    <s v="Male"/>
    <x v="5"/>
    <s v="Dr. Ahmed"/>
    <x v="0"/>
    <x v="8"/>
    <x v="1"/>
  </r>
  <r>
    <x v="9"/>
    <x v="9"/>
    <x v="9"/>
    <s v="Male"/>
    <x v="0"/>
    <s v="Dr. Maria"/>
    <x v="0"/>
    <x v="9"/>
    <x v="1"/>
  </r>
  <r>
    <x v="10"/>
    <x v="10"/>
    <x v="10"/>
    <s v="Male"/>
    <x v="1"/>
    <s v="Dr. Sara"/>
    <x v="3"/>
    <x v="10"/>
    <x v="1"/>
  </r>
  <r>
    <x v="11"/>
    <x v="11"/>
    <x v="11"/>
    <s v="Male"/>
    <x v="5"/>
    <s v="Dr. Sara"/>
    <x v="1"/>
    <x v="11"/>
    <x v="0"/>
  </r>
  <r>
    <x v="12"/>
    <x v="12"/>
    <x v="12"/>
    <s v="Male"/>
    <x v="2"/>
    <s v="Dr. Ahmed"/>
    <x v="2"/>
    <x v="12"/>
    <x v="0"/>
  </r>
  <r>
    <x v="13"/>
    <x v="13"/>
    <x v="13"/>
    <s v="Male"/>
    <x v="4"/>
    <s v="Dr. Maria"/>
    <x v="0"/>
    <x v="13"/>
    <x v="0"/>
  </r>
  <r>
    <x v="14"/>
    <x v="14"/>
    <x v="14"/>
    <s v="Female"/>
    <x v="5"/>
    <s v="Dr. David"/>
    <x v="3"/>
    <x v="14"/>
    <x v="0"/>
  </r>
  <r>
    <x v="15"/>
    <x v="15"/>
    <x v="15"/>
    <s v="Female"/>
    <x v="4"/>
    <s v="Dr. Emma"/>
    <x v="0"/>
    <x v="15"/>
    <x v="0"/>
  </r>
  <r>
    <x v="16"/>
    <x v="16"/>
    <x v="16"/>
    <s v="Female"/>
    <x v="4"/>
    <s v="Dr. Sara"/>
    <x v="2"/>
    <x v="16"/>
    <x v="0"/>
  </r>
  <r>
    <x v="17"/>
    <x v="17"/>
    <x v="17"/>
    <s v="Male"/>
    <x v="5"/>
    <s v="Dr. Sara"/>
    <x v="1"/>
    <x v="17"/>
    <x v="1"/>
  </r>
  <r>
    <x v="18"/>
    <x v="18"/>
    <x v="18"/>
    <s v="Male"/>
    <x v="2"/>
    <s v="Dr. Ahmed"/>
    <x v="2"/>
    <x v="18"/>
    <x v="1"/>
  </r>
  <r>
    <x v="19"/>
    <x v="19"/>
    <x v="19"/>
    <s v="Female"/>
    <x v="0"/>
    <s v="Dr. Ali"/>
    <x v="2"/>
    <x v="19"/>
    <x v="0"/>
  </r>
  <r>
    <x v="20"/>
    <x v="20"/>
    <x v="20"/>
    <s v="Male"/>
    <x v="7"/>
    <s v="Dr. Maria"/>
    <x v="0"/>
    <x v="20"/>
    <x v="0"/>
  </r>
  <r>
    <x v="21"/>
    <x v="21"/>
    <x v="21"/>
    <s v="Female"/>
    <x v="4"/>
    <s v="Dr. Ali"/>
    <x v="3"/>
    <x v="21"/>
    <x v="0"/>
  </r>
  <r>
    <x v="22"/>
    <x v="22"/>
    <x v="14"/>
    <s v="Male"/>
    <x v="2"/>
    <s v="Dr. Ali"/>
    <x v="3"/>
    <x v="22"/>
    <x v="0"/>
  </r>
  <r>
    <x v="23"/>
    <x v="23"/>
    <x v="22"/>
    <s v="Male"/>
    <x v="3"/>
    <s v="Dr. John"/>
    <x v="1"/>
    <x v="23"/>
    <x v="1"/>
  </r>
  <r>
    <x v="24"/>
    <x v="24"/>
    <x v="23"/>
    <s v="Female"/>
    <x v="1"/>
    <s v="Dr. John"/>
    <x v="0"/>
    <x v="24"/>
    <x v="1"/>
  </r>
  <r>
    <x v="25"/>
    <x v="25"/>
    <x v="23"/>
    <s v="Female"/>
    <x v="3"/>
    <s v="Dr. David"/>
    <x v="0"/>
    <x v="25"/>
    <x v="0"/>
  </r>
  <r>
    <x v="26"/>
    <x v="26"/>
    <x v="24"/>
    <s v="Female"/>
    <x v="2"/>
    <s v="Dr. Sara"/>
    <x v="1"/>
    <x v="26"/>
    <x v="0"/>
  </r>
  <r>
    <x v="27"/>
    <x v="27"/>
    <x v="25"/>
    <s v="Male"/>
    <x v="4"/>
    <s v="Dr. John"/>
    <x v="2"/>
    <x v="27"/>
    <x v="1"/>
  </r>
  <r>
    <x v="28"/>
    <x v="28"/>
    <x v="3"/>
    <s v="Female"/>
    <x v="7"/>
    <s v="Dr. John"/>
    <x v="2"/>
    <x v="28"/>
    <x v="0"/>
  </r>
  <r>
    <x v="29"/>
    <x v="29"/>
    <x v="26"/>
    <s v="Male"/>
    <x v="1"/>
    <s v="Dr. Sara"/>
    <x v="0"/>
    <x v="29"/>
    <x v="0"/>
  </r>
  <r>
    <x v="30"/>
    <x v="30"/>
    <x v="27"/>
    <s v="Male"/>
    <x v="4"/>
    <s v="Dr. Emma"/>
    <x v="3"/>
    <x v="30"/>
    <x v="0"/>
  </r>
  <r>
    <x v="31"/>
    <x v="31"/>
    <x v="28"/>
    <s v="Male"/>
    <x v="5"/>
    <s v="Dr. Ali"/>
    <x v="0"/>
    <x v="31"/>
    <x v="0"/>
  </r>
  <r>
    <x v="32"/>
    <x v="32"/>
    <x v="29"/>
    <s v="Female"/>
    <x v="1"/>
    <s v="Dr. Emma"/>
    <x v="0"/>
    <x v="32"/>
    <x v="1"/>
  </r>
  <r>
    <x v="33"/>
    <x v="33"/>
    <x v="30"/>
    <s v="Female"/>
    <x v="5"/>
    <s v="Dr. Emma"/>
    <x v="2"/>
    <x v="33"/>
    <x v="0"/>
  </r>
  <r>
    <x v="34"/>
    <x v="34"/>
    <x v="9"/>
    <s v="Female"/>
    <x v="2"/>
    <s v="Dr. Ali"/>
    <x v="0"/>
    <x v="34"/>
    <x v="0"/>
  </r>
  <r>
    <x v="35"/>
    <x v="35"/>
    <x v="31"/>
    <s v="Female"/>
    <x v="2"/>
    <s v="Dr. John"/>
    <x v="1"/>
    <x v="35"/>
    <x v="0"/>
  </r>
  <r>
    <x v="36"/>
    <x v="36"/>
    <x v="32"/>
    <s v="Male"/>
    <x v="7"/>
    <s v="Dr. Ali"/>
    <x v="3"/>
    <x v="36"/>
    <x v="1"/>
  </r>
  <r>
    <x v="37"/>
    <x v="37"/>
    <x v="33"/>
    <s v="Female"/>
    <x v="6"/>
    <s v="Dr. Ali"/>
    <x v="2"/>
    <x v="37"/>
    <x v="1"/>
  </r>
  <r>
    <x v="38"/>
    <x v="38"/>
    <x v="34"/>
    <s v="Male"/>
    <x v="3"/>
    <s v="Dr. Ali"/>
    <x v="2"/>
    <x v="38"/>
    <x v="0"/>
  </r>
  <r>
    <x v="39"/>
    <x v="39"/>
    <x v="35"/>
    <s v="Female"/>
    <x v="4"/>
    <s v="Dr. Ali"/>
    <x v="2"/>
    <x v="39"/>
    <x v="1"/>
  </r>
  <r>
    <x v="40"/>
    <x v="40"/>
    <x v="25"/>
    <s v="Male"/>
    <x v="1"/>
    <s v="Dr. Ali"/>
    <x v="2"/>
    <x v="40"/>
    <x v="1"/>
  </r>
  <r>
    <x v="41"/>
    <x v="41"/>
    <x v="36"/>
    <s v="Male"/>
    <x v="2"/>
    <s v="Dr. Ahmed"/>
    <x v="3"/>
    <x v="41"/>
    <x v="1"/>
  </r>
  <r>
    <x v="42"/>
    <x v="42"/>
    <x v="2"/>
    <s v="Male"/>
    <x v="6"/>
    <s v="Dr. Emma"/>
    <x v="3"/>
    <x v="42"/>
    <x v="1"/>
  </r>
  <r>
    <x v="43"/>
    <x v="43"/>
    <x v="37"/>
    <s v="Male"/>
    <x v="0"/>
    <s v="Dr. Emma"/>
    <x v="2"/>
    <x v="43"/>
    <x v="1"/>
  </r>
  <r>
    <x v="44"/>
    <x v="44"/>
    <x v="11"/>
    <s v="Female"/>
    <x v="7"/>
    <s v="Dr. Ali"/>
    <x v="0"/>
    <x v="44"/>
    <x v="0"/>
  </r>
  <r>
    <x v="45"/>
    <x v="45"/>
    <x v="38"/>
    <s v="Male"/>
    <x v="2"/>
    <s v="Dr. Ali"/>
    <x v="1"/>
    <x v="45"/>
    <x v="0"/>
  </r>
  <r>
    <x v="46"/>
    <x v="46"/>
    <x v="39"/>
    <s v="Male"/>
    <x v="5"/>
    <s v="Dr. Sara"/>
    <x v="2"/>
    <x v="46"/>
    <x v="0"/>
  </r>
  <r>
    <x v="47"/>
    <x v="47"/>
    <x v="40"/>
    <s v="Male"/>
    <x v="3"/>
    <s v="Dr. Ahmed"/>
    <x v="1"/>
    <x v="47"/>
    <x v="1"/>
  </r>
  <r>
    <x v="48"/>
    <x v="48"/>
    <x v="41"/>
    <s v="Female"/>
    <x v="0"/>
    <s v="Dr. David"/>
    <x v="1"/>
    <x v="48"/>
    <x v="0"/>
  </r>
  <r>
    <x v="49"/>
    <x v="49"/>
    <x v="30"/>
    <s v="Female"/>
    <x v="7"/>
    <s v="Dr. David"/>
    <x v="1"/>
    <x v="49"/>
    <x v="0"/>
  </r>
  <r>
    <x v="50"/>
    <x v="50"/>
    <x v="38"/>
    <s v="Female"/>
    <x v="1"/>
    <s v="Dr. Maria"/>
    <x v="2"/>
    <x v="50"/>
    <x v="1"/>
  </r>
  <r>
    <x v="51"/>
    <x v="51"/>
    <x v="22"/>
    <s v="Female"/>
    <x v="5"/>
    <s v="Dr. Ali"/>
    <x v="0"/>
    <x v="51"/>
    <x v="0"/>
  </r>
  <r>
    <x v="52"/>
    <x v="52"/>
    <x v="42"/>
    <s v="Male"/>
    <x v="4"/>
    <s v="Dr. Sara"/>
    <x v="3"/>
    <x v="52"/>
    <x v="0"/>
  </r>
  <r>
    <x v="53"/>
    <x v="53"/>
    <x v="43"/>
    <s v="Male"/>
    <x v="1"/>
    <s v="Dr. John"/>
    <x v="0"/>
    <x v="53"/>
    <x v="1"/>
  </r>
  <r>
    <x v="54"/>
    <x v="54"/>
    <x v="10"/>
    <s v="Male"/>
    <x v="0"/>
    <s v="Dr. Emma"/>
    <x v="2"/>
    <x v="54"/>
    <x v="1"/>
  </r>
  <r>
    <x v="55"/>
    <x v="55"/>
    <x v="44"/>
    <s v="Female"/>
    <x v="7"/>
    <s v="Dr. Ali"/>
    <x v="2"/>
    <x v="55"/>
    <x v="1"/>
  </r>
  <r>
    <x v="56"/>
    <x v="56"/>
    <x v="45"/>
    <s v="Male"/>
    <x v="0"/>
    <s v="Dr. Emma"/>
    <x v="0"/>
    <x v="56"/>
    <x v="0"/>
  </r>
  <r>
    <x v="57"/>
    <x v="57"/>
    <x v="46"/>
    <s v="Male"/>
    <x v="5"/>
    <s v="Dr. Sara"/>
    <x v="3"/>
    <x v="57"/>
    <x v="1"/>
  </r>
  <r>
    <x v="58"/>
    <x v="58"/>
    <x v="47"/>
    <s v="Male"/>
    <x v="3"/>
    <s v="Dr. David"/>
    <x v="3"/>
    <x v="58"/>
    <x v="1"/>
  </r>
  <r>
    <x v="59"/>
    <x v="59"/>
    <x v="48"/>
    <s v="Female"/>
    <x v="2"/>
    <s v="Dr. John"/>
    <x v="2"/>
    <x v="59"/>
    <x v="1"/>
  </r>
  <r>
    <x v="60"/>
    <x v="60"/>
    <x v="49"/>
    <s v="Female"/>
    <x v="2"/>
    <s v="Dr. Emma"/>
    <x v="3"/>
    <x v="60"/>
    <x v="0"/>
  </r>
  <r>
    <x v="61"/>
    <x v="61"/>
    <x v="7"/>
    <s v="Male"/>
    <x v="3"/>
    <s v="Dr. Ahmed"/>
    <x v="3"/>
    <x v="26"/>
    <x v="0"/>
  </r>
  <r>
    <x v="62"/>
    <x v="62"/>
    <x v="22"/>
    <s v="Male"/>
    <x v="1"/>
    <s v="Dr. David"/>
    <x v="0"/>
    <x v="61"/>
    <x v="0"/>
  </r>
  <r>
    <x v="63"/>
    <x v="63"/>
    <x v="13"/>
    <s v="Male"/>
    <x v="5"/>
    <s v="Dr. John"/>
    <x v="3"/>
    <x v="62"/>
    <x v="1"/>
  </r>
  <r>
    <x v="64"/>
    <x v="64"/>
    <x v="23"/>
    <s v="Female"/>
    <x v="6"/>
    <s v="Dr. John"/>
    <x v="0"/>
    <x v="63"/>
    <x v="1"/>
  </r>
  <r>
    <x v="65"/>
    <x v="65"/>
    <x v="26"/>
    <s v="Female"/>
    <x v="6"/>
    <s v="Dr. Ahmed"/>
    <x v="0"/>
    <x v="64"/>
    <x v="0"/>
  </r>
  <r>
    <x v="66"/>
    <x v="66"/>
    <x v="44"/>
    <s v="Male"/>
    <x v="3"/>
    <s v="Dr. John"/>
    <x v="0"/>
    <x v="65"/>
    <x v="0"/>
  </r>
  <r>
    <x v="67"/>
    <x v="67"/>
    <x v="13"/>
    <s v="Female"/>
    <x v="5"/>
    <s v="Dr. Ahmed"/>
    <x v="2"/>
    <x v="66"/>
    <x v="1"/>
  </r>
  <r>
    <x v="68"/>
    <x v="68"/>
    <x v="29"/>
    <s v="Female"/>
    <x v="2"/>
    <s v="Dr. Emma"/>
    <x v="3"/>
    <x v="67"/>
    <x v="0"/>
  </r>
  <r>
    <x v="69"/>
    <x v="69"/>
    <x v="3"/>
    <s v="Female"/>
    <x v="5"/>
    <s v="Dr. Ahmed"/>
    <x v="3"/>
    <x v="68"/>
    <x v="1"/>
  </r>
  <r>
    <x v="70"/>
    <x v="70"/>
    <x v="50"/>
    <s v="Female"/>
    <x v="7"/>
    <s v="Dr. Maria"/>
    <x v="0"/>
    <x v="69"/>
    <x v="0"/>
  </r>
  <r>
    <x v="71"/>
    <x v="71"/>
    <x v="51"/>
    <s v="Female"/>
    <x v="6"/>
    <s v="Dr. Ahmed"/>
    <x v="3"/>
    <x v="70"/>
    <x v="1"/>
  </r>
  <r>
    <x v="72"/>
    <x v="72"/>
    <x v="52"/>
    <s v="Female"/>
    <x v="7"/>
    <s v="Dr. John"/>
    <x v="2"/>
    <x v="71"/>
    <x v="0"/>
  </r>
  <r>
    <x v="73"/>
    <x v="73"/>
    <x v="0"/>
    <s v="Male"/>
    <x v="7"/>
    <s v="Dr. John"/>
    <x v="2"/>
    <x v="72"/>
    <x v="0"/>
  </r>
  <r>
    <x v="74"/>
    <x v="74"/>
    <x v="30"/>
    <s v="Female"/>
    <x v="0"/>
    <s v="Dr. John"/>
    <x v="1"/>
    <x v="73"/>
    <x v="0"/>
  </r>
  <r>
    <x v="75"/>
    <x v="75"/>
    <x v="53"/>
    <s v="Female"/>
    <x v="5"/>
    <s v="Dr. Ahmed"/>
    <x v="2"/>
    <x v="74"/>
    <x v="0"/>
  </r>
  <r>
    <x v="76"/>
    <x v="76"/>
    <x v="54"/>
    <s v="Male"/>
    <x v="4"/>
    <s v="Dr. Sara"/>
    <x v="0"/>
    <x v="75"/>
    <x v="0"/>
  </r>
  <r>
    <x v="77"/>
    <x v="77"/>
    <x v="34"/>
    <s v="Male"/>
    <x v="5"/>
    <s v="Dr. Maria"/>
    <x v="1"/>
    <x v="76"/>
    <x v="0"/>
  </r>
  <r>
    <x v="78"/>
    <x v="78"/>
    <x v="55"/>
    <s v="Female"/>
    <x v="4"/>
    <s v="Dr. Sara"/>
    <x v="1"/>
    <x v="77"/>
    <x v="1"/>
  </r>
  <r>
    <x v="79"/>
    <x v="79"/>
    <x v="56"/>
    <s v="Female"/>
    <x v="6"/>
    <s v="Dr. John"/>
    <x v="3"/>
    <x v="78"/>
    <x v="1"/>
  </r>
  <r>
    <x v="80"/>
    <x v="80"/>
    <x v="57"/>
    <s v="Female"/>
    <x v="7"/>
    <s v="Dr. Sara"/>
    <x v="2"/>
    <x v="79"/>
    <x v="0"/>
  </r>
  <r>
    <x v="81"/>
    <x v="81"/>
    <x v="51"/>
    <s v="Female"/>
    <x v="6"/>
    <s v="Dr. David"/>
    <x v="0"/>
    <x v="80"/>
    <x v="0"/>
  </r>
  <r>
    <x v="82"/>
    <x v="82"/>
    <x v="49"/>
    <s v="Female"/>
    <x v="5"/>
    <s v="Dr. David"/>
    <x v="2"/>
    <x v="81"/>
    <x v="0"/>
  </r>
  <r>
    <x v="83"/>
    <x v="83"/>
    <x v="23"/>
    <s v="Female"/>
    <x v="4"/>
    <s v="Dr. Emma"/>
    <x v="1"/>
    <x v="82"/>
    <x v="1"/>
  </r>
  <r>
    <x v="84"/>
    <x v="84"/>
    <x v="13"/>
    <s v="Male"/>
    <x v="0"/>
    <s v="Dr. Emma"/>
    <x v="2"/>
    <x v="83"/>
    <x v="0"/>
  </r>
  <r>
    <x v="85"/>
    <x v="85"/>
    <x v="11"/>
    <s v="Male"/>
    <x v="4"/>
    <s v="Dr. Ahmed"/>
    <x v="2"/>
    <x v="84"/>
    <x v="0"/>
  </r>
  <r>
    <x v="86"/>
    <x v="86"/>
    <x v="58"/>
    <s v="Male"/>
    <x v="1"/>
    <s v="Dr. David"/>
    <x v="2"/>
    <x v="85"/>
    <x v="1"/>
  </r>
  <r>
    <x v="87"/>
    <x v="87"/>
    <x v="59"/>
    <s v="Male"/>
    <x v="1"/>
    <s v="Dr. Sara"/>
    <x v="2"/>
    <x v="86"/>
    <x v="1"/>
  </r>
  <r>
    <x v="88"/>
    <x v="88"/>
    <x v="60"/>
    <s v="Female"/>
    <x v="7"/>
    <s v="Dr. David"/>
    <x v="2"/>
    <x v="87"/>
    <x v="0"/>
  </r>
  <r>
    <x v="89"/>
    <x v="89"/>
    <x v="55"/>
    <s v="Female"/>
    <x v="7"/>
    <s v="Dr. Ahmed"/>
    <x v="0"/>
    <x v="88"/>
    <x v="1"/>
  </r>
  <r>
    <x v="90"/>
    <x v="90"/>
    <x v="35"/>
    <s v="Female"/>
    <x v="0"/>
    <s v="Dr. Sara"/>
    <x v="0"/>
    <x v="89"/>
    <x v="0"/>
  </r>
  <r>
    <x v="91"/>
    <x v="91"/>
    <x v="51"/>
    <s v="Female"/>
    <x v="7"/>
    <s v="Dr. Ali"/>
    <x v="0"/>
    <x v="90"/>
    <x v="0"/>
  </r>
  <r>
    <x v="92"/>
    <x v="92"/>
    <x v="61"/>
    <s v="Female"/>
    <x v="1"/>
    <s v="Dr. David"/>
    <x v="0"/>
    <x v="91"/>
    <x v="0"/>
  </r>
  <r>
    <x v="93"/>
    <x v="93"/>
    <x v="62"/>
    <s v="Female"/>
    <x v="7"/>
    <s v="Dr. David"/>
    <x v="2"/>
    <x v="92"/>
    <x v="1"/>
  </r>
  <r>
    <x v="94"/>
    <x v="94"/>
    <x v="63"/>
    <s v="Male"/>
    <x v="7"/>
    <s v="Dr. John"/>
    <x v="0"/>
    <x v="93"/>
    <x v="1"/>
  </r>
  <r>
    <x v="95"/>
    <x v="95"/>
    <x v="38"/>
    <s v="Male"/>
    <x v="1"/>
    <s v="Dr. Emma"/>
    <x v="3"/>
    <x v="94"/>
    <x v="0"/>
  </r>
  <r>
    <x v="96"/>
    <x v="96"/>
    <x v="31"/>
    <s v="Female"/>
    <x v="3"/>
    <s v="Dr. Maria"/>
    <x v="1"/>
    <x v="95"/>
    <x v="0"/>
  </r>
  <r>
    <x v="97"/>
    <x v="97"/>
    <x v="63"/>
    <s v="Female"/>
    <x v="5"/>
    <s v="Dr. David"/>
    <x v="0"/>
    <x v="96"/>
    <x v="1"/>
  </r>
  <r>
    <x v="98"/>
    <x v="98"/>
    <x v="12"/>
    <s v="Female"/>
    <x v="5"/>
    <s v="Dr. Ali"/>
    <x v="0"/>
    <x v="97"/>
    <x v="0"/>
  </r>
  <r>
    <x v="99"/>
    <x v="99"/>
    <x v="45"/>
    <s v="Male"/>
    <x v="2"/>
    <s v="Dr. Maria"/>
    <x v="3"/>
    <x v="98"/>
    <x v="1"/>
  </r>
  <r>
    <x v="100"/>
    <x v="100"/>
    <x v="64"/>
    <s v="Male"/>
    <x v="1"/>
    <s v="Dr. John"/>
    <x v="2"/>
    <x v="99"/>
    <x v="0"/>
  </r>
  <r>
    <x v="101"/>
    <x v="101"/>
    <x v="39"/>
    <s v="Female"/>
    <x v="5"/>
    <s v="Dr. Sara"/>
    <x v="1"/>
    <x v="100"/>
    <x v="1"/>
  </r>
  <r>
    <x v="102"/>
    <x v="102"/>
    <x v="65"/>
    <s v="Female"/>
    <x v="5"/>
    <s v="Dr. Ali"/>
    <x v="1"/>
    <x v="101"/>
    <x v="1"/>
  </r>
  <r>
    <x v="103"/>
    <x v="103"/>
    <x v="10"/>
    <s v="Male"/>
    <x v="3"/>
    <s v="Dr. John"/>
    <x v="0"/>
    <x v="102"/>
    <x v="0"/>
  </r>
  <r>
    <x v="104"/>
    <x v="104"/>
    <x v="40"/>
    <s v="Male"/>
    <x v="3"/>
    <s v="Dr. Ahmed"/>
    <x v="1"/>
    <x v="103"/>
    <x v="1"/>
  </r>
  <r>
    <x v="105"/>
    <x v="105"/>
    <x v="4"/>
    <s v="Male"/>
    <x v="2"/>
    <s v="Dr. David"/>
    <x v="3"/>
    <x v="104"/>
    <x v="0"/>
  </r>
  <r>
    <x v="106"/>
    <x v="106"/>
    <x v="26"/>
    <s v="Male"/>
    <x v="5"/>
    <s v="Dr. Emma"/>
    <x v="1"/>
    <x v="105"/>
    <x v="1"/>
  </r>
  <r>
    <x v="107"/>
    <x v="107"/>
    <x v="63"/>
    <s v="Female"/>
    <x v="2"/>
    <s v="Dr. John"/>
    <x v="0"/>
    <x v="106"/>
    <x v="1"/>
  </r>
  <r>
    <x v="108"/>
    <x v="108"/>
    <x v="2"/>
    <s v="Female"/>
    <x v="6"/>
    <s v="Dr. Ali"/>
    <x v="0"/>
    <x v="107"/>
    <x v="0"/>
  </r>
  <r>
    <x v="109"/>
    <x v="109"/>
    <x v="4"/>
    <s v="Male"/>
    <x v="5"/>
    <s v="Dr. Maria"/>
    <x v="1"/>
    <x v="108"/>
    <x v="0"/>
  </r>
  <r>
    <x v="110"/>
    <x v="110"/>
    <x v="10"/>
    <s v="Male"/>
    <x v="3"/>
    <s v="Dr. Emma"/>
    <x v="0"/>
    <x v="109"/>
    <x v="0"/>
  </r>
  <r>
    <x v="111"/>
    <x v="111"/>
    <x v="43"/>
    <s v="Male"/>
    <x v="7"/>
    <s v="Dr. John"/>
    <x v="1"/>
    <x v="110"/>
    <x v="0"/>
  </r>
  <r>
    <x v="112"/>
    <x v="112"/>
    <x v="15"/>
    <s v="Male"/>
    <x v="5"/>
    <s v="Dr. Emma"/>
    <x v="3"/>
    <x v="111"/>
    <x v="1"/>
  </r>
  <r>
    <x v="113"/>
    <x v="113"/>
    <x v="37"/>
    <s v="Female"/>
    <x v="6"/>
    <s v="Dr. Sara"/>
    <x v="1"/>
    <x v="112"/>
    <x v="1"/>
  </r>
  <r>
    <x v="114"/>
    <x v="114"/>
    <x v="66"/>
    <s v="Male"/>
    <x v="7"/>
    <s v="Dr. John"/>
    <x v="2"/>
    <x v="113"/>
    <x v="0"/>
  </r>
  <r>
    <x v="115"/>
    <x v="115"/>
    <x v="26"/>
    <s v="Female"/>
    <x v="5"/>
    <s v="Dr. David"/>
    <x v="0"/>
    <x v="70"/>
    <x v="0"/>
  </r>
  <r>
    <x v="116"/>
    <x v="116"/>
    <x v="67"/>
    <s v="Female"/>
    <x v="6"/>
    <s v="Dr. David"/>
    <x v="3"/>
    <x v="114"/>
    <x v="0"/>
  </r>
  <r>
    <x v="117"/>
    <x v="117"/>
    <x v="22"/>
    <s v="Male"/>
    <x v="2"/>
    <s v="Dr. John"/>
    <x v="1"/>
    <x v="115"/>
    <x v="1"/>
  </r>
  <r>
    <x v="118"/>
    <x v="118"/>
    <x v="30"/>
    <s v="Male"/>
    <x v="0"/>
    <s v="Dr. Emma"/>
    <x v="0"/>
    <x v="116"/>
    <x v="0"/>
  </r>
  <r>
    <x v="119"/>
    <x v="119"/>
    <x v="48"/>
    <s v="Male"/>
    <x v="5"/>
    <s v="Dr. Ali"/>
    <x v="2"/>
    <x v="117"/>
    <x v="1"/>
  </r>
  <r>
    <x v="120"/>
    <x v="120"/>
    <x v="25"/>
    <s v="Male"/>
    <x v="4"/>
    <s v="Dr. Emma"/>
    <x v="3"/>
    <x v="118"/>
    <x v="1"/>
  </r>
  <r>
    <x v="121"/>
    <x v="121"/>
    <x v="57"/>
    <s v="Male"/>
    <x v="3"/>
    <s v="Dr. Ali"/>
    <x v="2"/>
    <x v="119"/>
    <x v="1"/>
  </r>
  <r>
    <x v="122"/>
    <x v="122"/>
    <x v="51"/>
    <s v="Female"/>
    <x v="1"/>
    <s v="Dr. Maria"/>
    <x v="3"/>
    <x v="120"/>
    <x v="0"/>
  </r>
  <r>
    <x v="123"/>
    <x v="123"/>
    <x v="33"/>
    <s v="Male"/>
    <x v="3"/>
    <s v="Dr. Ali"/>
    <x v="1"/>
    <x v="121"/>
    <x v="1"/>
  </r>
  <r>
    <x v="124"/>
    <x v="124"/>
    <x v="26"/>
    <s v="Male"/>
    <x v="5"/>
    <s v="Dr. Ali"/>
    <x v="0"/>
    <x v="122"/>
    <x v="0"/>
  </r>
  <r>
    <x v="125"/>
    <x v="125"/>
    <x v="42"/>
    <s v="Female"/>
    <x v="7"/>
    <s v="Dr. Maria"/>
    <x v="0"/>
    <x v="123"/>
    <x v="0"/>
  </r>
  <r>
    <x v="126"/>
    <x v="126"/>
    <x v="58"/>
    <s v="Male"/>
    <x v="7"/>
    <s v="Dr. John"/>
    <x v="1"/>
    <x v="124"/>
    <x v="0"/>
  </r>
  <r>
    <x v="127"/>
    <x v="127"/>
    <x v="15"/>
    <s v="Male"/>
    <x v="2"/>
    <s v="Dr. Ali"/>
    <x v="1"/>
    <x v="125"/>
    <x v="0"/>
  </r>
  <r>
    <x v="128"/>
    <x v="128"/>
    <x v="55"/>
    <s v="Male"/>
    <x v="6"/>
    <s v="Dr. John"/>
    <x v="2"/>
    <x v="126"/>
    <x v="0"/>
  </r>
  <r>
    <x v="129"/>
    <x v="129"/>
    <x v="1"/>
    <s v="Female"/>
    <x v="4"/>
    <s v="Dr. Ahmed"/>
    <x v="3"/>
    <x v="127"/>
    <x v="1"/>
  </r>
  <r>
    <x v="130"/>
    <x v="130"/>
    <x v="62"/>
    <s v="Male"/>
    <x v="3"/>
    <s v="Dr. Ali"/>
    <x v="1"/>
    <x v="128"/>
    <x v="1"/>
  </r>
  <r>
    <x v="131"/>
    <x v="131"/>
    <x v="32"/>
    <s v="Female"/>
    <x v="3"/>
    <s v="Dr. Sara"/>
    <x v="0"/>
    <x v="129"/>
    <x v="0"/>
  </r>
  <r>
    <x v="132"/>
    <x v="132"/>
    <x v="42"/>
    <s v="Male"/>
    <x v="5"/>
    <s v="Dr. Ali"/>
    <x v="1"/>
    <x v="127"/>
    <x v="1"/>
  </r>
  <r>
    <x v="133"/>
    <x v="133"/>
    <x v="48"/>
    <s v="Male"/>
    <x v="2"/>
    <s v="Dr. Sara"/>
    <x v="1"/>
    <x v="130"/>
    <x v="1"/>
  </r>
  <r>
    <x v="134"/>
    <x v="134"/>
    <x v="65"/>
    <s v="Male"/>
    <x v="3"/>
    <s v="Dr. David"/>
    <x v="0"/>
    <x v="131"/>
    <x v="0"/>
  </r>
  <r>
    <x v="135"/>
    <x v="135"/>
    <x v="57"/>
    <s v="Female"/>
    <x v="4"/>
    <s v="Dr. Maria"/>
    <x v="1"/>
    <x v="98"/>
    <x v="1"/>
  </r>
  <r>
    <x v="136"/>
    <x v="136"/>
    <x v="68"/>
    <s v="Female"/>
    <x v="1"/>
    <s v="Dr. David"/>
    <x v="3"/>
    <x v="132"/>
    <x v="1"/>
  </r>
  <r>
    <x v="137"/>
    <x v="137"/>
    <x v="48"/>
    <s v="Female"/>
    <x v="2"/>
    <s v="Dr. Ali"/>
    <x v="2"/>
    <x v="133"/>
    <x v="1"/>
  </r>
  <r>
    <x v="138"/>
    <x v="138"/>
    <x v="24"/>
    <s v="Female"/>
    <x v="1"/>
    <s v="Dr. Maria"/>
    <x v="1"/>
    <x v="134"/>
    <x v="1"/>
  </r>
  <r>
    <x v="139"/>
    <x v="139"/>
    <x v="39"/>
    <s v="Male"/>
    <x v="2"/>
    <s v="Dr. Maria"/>
    <x v="1"/>
    <x v="135"/>
    <x v="1"/>
  </r>
  <r>
    <x v="140"/>
    <x v="140"/>
    <x v="69"/>
    <s v="Male"/>
    <x v="0"/>
    <s v="Dr. Ahmed"/>
    <x v="3"/>
    <x v="136"/>
    <x v="1"/>
  </r>
  <r>
    <x v="141"/>
    <x v="141"/>
    <x v="11"/>
    <s v="Male"/>
    <x v="2"/>
    <s v="Dr. Ali"/>
    <x v="3"/>
    <x v="137"/>
    <x v="1"/>
  </r>
  <r>
    <x v="142"/>
    <x v="142"/>
    <x v="70"/>
    <s v="Female"/>
    <x v="4"/>
    <s v="Dr. Ali"/>
    <x v="1"/>
    <x v="138"/>
    <x v="0"/>
  </r>
  <r>
    <x v="143"/>
    <x v="143"/>
    <x v="68"/>
    <s v="Male"/>
    <x v="3"/>
    <s v="Dr. Ahmed"/>
    <x v="1"/>
    <x v="139"/>
    <x v="0"/>
  </r>
  <r>
    <x v="144"/>
    <x v="144"/>
    <x v="49"/>
    <s v="Female"/>
    <x v="3"/>
    <s v="Dr. Sara"/>
    <x v="1"/>
    <x v="140"/>
    <x v="1"/>
  </r>
  <r>
    <x v="145"/>
    <x v="145"/>
    <x v="5"/>
    <s v="Male"/>
    <x v="0"/>
    <s v="Dr. Ali"/>
    <x v="2"/>
    <x v="141"/>
    <x v="1"/>
  </r>
  <r>
    <x v="146"/>
    <x v="146"/>
    <x v="71"/>
    <s v="Female"/>
    <x v="0"/>
    <s v="Dr. David"/>
    <x v="2"/>
    <x v="142"/>
    <x v="0"/>
  </r>
  <r>
    <x v="147"/>
    <x v="147"/>
    <x v="72"/>
    <s v="Female"/>
    <x v="6"/>
    <s v="Dr. Maria"/>
    <x v="2"/>
    <x v="13"/>
    <x v="0"/>
  </r>
  <r>
    <x v="148"/>
    <x v="148"/>
    <x v="15"/>
    <s v="Male"/>
    <x v="6"/>
    <s v="Dr. Maria"/>
    <x v="1"/>
    <x v="143"/>
    <x v="1"/>
  </r>
  <r>
    <x v="149"/>
    <x v="149"/>
    <x v="70"/>
    <s v="Female"/>
    <x v="1"/>
    <s v="Dr. Ahmed"/>
    <x v="3"/>
    <x v="144"/>
    <x v="0"/>
  </r>
  <r>
    <x v="150"/>
    <x v="150"/>
    <x v="29"/>
    <s v="Male"/>
    <x v="2"/>
    <s v="Dr. John"/>
    <x v="2"/>
    <x v="145"/>
    <x v="0"/>
  </r>
  <r>
    <x v="151"/>
    <x v="151"/>
    <x v="25"/>
    <s v="Female"/>
    <x v="7"/>
    <s v="Dr. Ali"/>
    <x v="1"/>
    <x v="146"/>
    <x v="1"/>
  </r>
  <r>
    <x v="152"/>
    <x v="152"/>
    <x v="73"/>
    <s v="Male"/>
    <x v="3"/>
    <s v="Dr. Ali"/>
    <x v="1"/>
    <x v="147"/>
    <x v="1"/>
  </r>
  <r>
    <x v="153"/>
    <x v="153"/>
    <x v="17"/>
    <s v="Male"/>
    <x v="7"/>
    <s v="Dr. Maria"/>
    <x v="2"/>
    <x v="148"/>
    <x v="0"/>
  </r>
  <r>
    <x v="154"/>
    <x v="154"/>
    <x v="57"/>
    <s v="Female"/>
    <x v="6"/>
    <s v="Dr. John"/>
    <x v="1"/>
    <x v="149"/>
    <x v="1"/>
  </r>
  <r>
    <x v="155"/>
    <x v="155"/>
    <x v="61"/>
    <s v="Female"/>
    <x v="0"/>
    <s v="Dr. Ahmed"/>
    <x v="2"/>
    <x v="150"/>
    <x v="1"/>
  </r>
  <r>
    <x v="156"/>
    <x v="156"/>
    <x v="28"/>
    <s v="Male"/>
    <x v="2"/>
    <s v="Dr. Ali"/>
    <x v="0"/>
    <x v="151"/>
    <x v="0"/>
  </r>
  <r>
    <x v="157"/>
    <x v="157"/>
    <x v="74"/>
    <s v="Female"/>
    <x v="5"/>
    <s v="Dr. John"/>
    <x v="1"/>
    <x v="152"/>
    <x v="1"/>
  </r>
  <r>
    <x v="158"/>
    <x v="158"/>
    <x v="40"/>
    <s v="Male"/>
    <x v="1"/>
    <s v="Dr. Maria"/>
    <x v="0"/>
    <x v="153"/>
    <x v="0"/>
  </r>
  <r>
    <x v="159"/>
    <x v="159"/>
    <x v="53"/>
    <s v="Male"/>
    <x v="1"/>
    <s v="Dr. David"/>
    <x v="3"/>
    <x v="154"/>
    <x v="0"/>
  </r>
  <r>
    <x v="160"/>
    <x v="160"/>
    <x v="13"/>
    <s v="Female"/>
    <x v="4"/>
    <s v="Dr. John"/>
    <x v="0"/>
    <x v="68"/>
    <x v="0"/>
  </r>
  <r>
    <x v="161"/>
    <x v="161"/>
    <x v="21"/>
    <s v="Male"/>
    <x v="7"/>
    <s v="Dr. Emma"/>
    <x v="1"/>
    <x v="155"/>
    <x v="0"/>
  </r>
  <r>
    <x v="162"/>
    <x v="162"/>
    <x v="25"/>
    <s v="Male"/>
    <x v="0"/>
    <s v="Dr. Ahmed"/>
    <x v="3"/>
    <x v="156"/>
    <x v="1"/>
  </r>
  <r>
    <x v="163"/>
    <x v="163"/>
    <x v="17"/>
    <s v="Female"/>
    <x v="6"/>
    <s v="Dr. Ahmed"/>
    <x v="3"/>
    <x v="157"/>
    <x v="1"/>
  </r>
  <r>
    <x v="164"/>
    <x v="164"/>
    <x v="43"/>
    <s v="Male"/>
    <x v="7"/>
    <s v="Dr. Ahmed"/>
    <x v="2"/>
    <x v="158"/>
    <x v="0"/>
  </r>
  <r>
    <x v="165"/>
    <x v="165"/>
    <x v="12"/>
    <s v="Female"/>
    <x v="3"/>
    <s v="Dr. Maria"/>
    <x v="1"/>
    <x v="159"/>
    <x v="1"/>
  </r>
  <r>
    <x v="166"/>
    <x v="166"/>
    <x v="63"/>
    <s v="Male"/>
    <x v="5"/>
    <s v="Dr. David"/>
    <x v="2"/>
    <x v="160"/>
    <x v="1"/>
  </r>
  <r>
    <x v="167"/>
    <x v="167"/>
    <x v="74"/>
    <s v="Female"/>
    <x v="4"/>
    <s v="Dr. Ali"/>
    <x v="3"/>
    <x v="161"/>
    <x v="0"/>
  </r>
  <r>
    <x v="168"/>
    <x v="168"/>
    <x v="75"/>
    <s v="Male"/>
    <x v="7"/>
    <s v="Dr. Maria"/>
    <x v="1"/>
    <x v="162"/>
    <x v="0"/>
  </r>
  <r>
    <x v="169"/>
    <x v="169"/>
    <x v="49"/>
    <s v="Female"/>
    <x v="3"/>
    <s v="Dr. Maria"/>
    <x v="3"/>
    <x v="163"/>
    <x v="1"/>
  </r>
  <r>
    <x v="170"/>
    <x v="170"/>
    <x v="42"/>
    <s v="Female"/>
    <x v="2"/>
    <s v="Dr. Emma"/>
    <x v="1"/>
    <x v="164"/>
    <x v="0"/>
  </r>
  <r>
    <x v="171"/>
    <x v="171"/>
    <x v="3"/>
    <s v="Female"/>
    <x v="0"/>
    <s v="Dr. Sara"/>
    <x v="1"/>
    <x v="165"/>
    <x v="0"/>
  </r>
  <r>
    <x v="172"/>
    <x v="172"/>
    <x v="69"/>
    <s v="Female"/>
    <x v="3"/>
    <s v="Dr. Maria"/>
    <x v="1"/>
    <x v="166"/>
    <x v="1"/>
  </r>
  <r>
    <x v="173"/>
    <x v="173"/>
    <x v="11"/>
    <s v="Female"/>
    <x v="7"/>
    <s v="Dr. Maria"/>
    <x v="1"/>
    <x v="167"/>
    <x v="1"/>
  </r>
  <r>
    <x v="174"/>
    <x v="174"/>
    <x v="73"/>
    <s v="Female"/>
    <x v="3"/>
    <s v="Dr. Emma"/>
    <x v="1"/>
    <x v="168"/>
    <x v="0"/>
  </r>
  <r>
    <x v="175"/>
    <x v="175"/>
    <x v="76"/>
    <s v="Female"/>
    <x v="4"/>
    <s v="Dr. John"/>
    <x v="1"/>
    <x v="169"/>
    <x v="0"/>
  </r>
  <r>
    <x v="176"/>
    <x v="176"/>
    <x v="66"/>
    <s v="Male"/>
    <x v="1"/>
    <s v="Dr. Maria"/>
    <x v="0"/>
    <x v="170"/>
    <x v="0"/>
  </r>
  <r>
    <x v="177"/>
    <x v="177"/>
    <x v="40"/>
    <s v="Male"/>
    <x v="5"/>
    <s v="Dr. Ahmed"/>
    <x v="2"/>
    <x v="171"/>
    <x v="1"/>
  </r>
  <r>
    <x v="178"/>
    <x v="178"/>
    <x v="77"/>
    <s v="Female"/>
    <x v="4"/>
    <s v="Dr. Emma"/>
    <x v="2"/>
    <x v="172"/>
    <x v="1"/>
  </r>
  <r>
    <x v="179"/>
    <x v="179"/>
    <x v="63"/>
    <s v="Female"/>
    <x v="6"/>
    <s v="Dr. David"/>
    <x v="0"/>
    <x v="173"/>
    <x v="0"/>
  </r>
  <r>
    <x v="180"/>
    <x v="180"/>
    <x v="41"/>
    <s v="Male"/>
    <x v="5"/>
    <s v="Dr. Ali"/>
    <x v="3"/>
    <x v="174"/>
    <x v="1"/>
  </r>
  <r>
    <x v="181"/>
    <x v="181"/>
    <x v="36"/>
    <s v="Male"/>
    <x v="3"/>
    <s v="Dr. Ahmed"/>
    <x v="0"/>
    <x v="30"/>
    <x v="0"/>
  </r>
  <r>
    <x v="182"/>
    <x v="182"/>
    <x v="63"/>
    <s v="Female"/>
    <x v="5"/>
    <s v="Dr. Maria"/>
    <x v="0"/>
    <x v="175"/>
    <x v="0"/>
  </r>
  <r>
    <x v="183"/>
    <x v="183"/>
    <x v="77"/>
    <s v="Female"/>
    <x v="0"/>
    <s v="Dr. Ali"/>
    <x v="2"/>
    <x v="176"/>
    <x v="1"/>
  </r>
  <r>
    <x v="184"/>
    <x v="184"/>
    <x v="78"/>
    <s v="Male"/>
    <x v="5"/>
    <s v="Dr. David"/>
    <x v="0"/>
    <x v="177"/>
    <x v="1"/>
  </r>
  <r>
    <x v="185"/>
    <x v="185"/>
    <x v="67"/>
    <s v="Female"/>
    <x v="7"/>
    <s v="Dr. David"/>
    <x v="0"/>
    <x v="178"/>
    <x v="1"/>
  </r>
  <r>
    <x v="186"/>
    <x v="186"/>
    <x v="23"/>
    <s v="Female"/>
    <x v="7"/>
    <s v="Dr. Emma"/>
    <x v="2"/>
    <x v="179"/>
    <x v="0"/>
  </r>
  <r>
    <x v="187"/>
    <x v="187"/>
    <x v="8"/>
    <s v="Female"/>
    <x v="1"/>
    <s v="Dr. Ahmed"/>
    <x v="2"/>
    <x v="180"/>
    <x v="1"/>
  </r>
  <r>
    <x v="188"/>
    <x v="188"/>
    <x v="19"/>
    <s v="Male"/>
    <x v="3"/>
    <s v="Dr. Ali"/>
    <x v="1"/>
    <x v="181"/>
    <x v="1"/>
  </r>
  <r>
    <x v="189"/>
    <x v="189"/>
    <x v="67"/>
    <s v="Male"/>
    <x v="0"/>
    <s v="Dr. Emma"/>
    <x v="2"/>
    <x v="182"/>
    <x v="0"/>
  </r>
  <r>
    <x v="190"/>
    <x v="190"/>
    <x v="50"/>
    <s v="Male"/>
    <x v="6"/>
    <s v="Dr. David"/>
    <x v="3"/>
    <x v="183"/>
    <x v="1"/>
  </r>
  <r>
    <x v="191"/>
    <x v="191"/>
    <x v="69"/>
    <s v="Female"/>
    <x v="3"/>
    <s v="Dr. Ali"/>
    <x v="3"/>
    <x v="184"/>
    <x v="0"/>
  </r>
  <r>
    <x v="192"/>
    <x v="192"/>
    <x v="78"/>
    <s v="Male"/>
    <x v="2"/>
    <s v="Dr. Emma"/>
    <x v="0"/>
    <x v="185"/>
    <x v="0"/>
  </r>
  <r>
    <x v="193"/>
    <x v="193"/>
    <x v="60"/>
    <s v="Female"/>
    <x v="3"/>
    <s v="Dr. Ahmed"/>
    <x v="2"/>
    <x v="186"/>
    <x v="1"/>
  </r>
  <r>
    <x v="194"/>
    <x v="194"/>
    <x v="31"/>
    <s v="Female"/>
    <x v="3"/>
    <s v="Dr. John"/>
    <x v="2"/>
    <x v="187"/>
    <x v="1"/>
  </r>
  <r>
    <x v="195"/>
    <x v="195"/>
    <x v="20"/>
    <s v="Female"/>
    <x v="3"/>
    <s v="Dr. Sara"/>
    <x v="1"/>
    <x v="188"/>
    <x v="0"/>
  </r>
  <r>
    <x v="196"/>
    <x v="196"/>
    <x v="27"/>
    <s v="Male"/>
    <x v="7"/>
    <s v="Dr. David"/>
    <x v="1"/>
    <x v="130"/>
    <x v="1"/>
  </r>
  <r>
    <x v="197"/>
    <x v="197"/>
    <x v="4"/>
    <s v="Female"/>
    <x v="1"/>
    <s v="Dr. Maria"/>
    <x v="3"/>
    <x v="189"/>
    <x v="1"/>
  </r>
  <r>
    <x v="198"/>
    <x v="198"/>
    <x v="79"/>
    <s v="Male"/>
    <x v="7"/>
    <s v="Dr. Sara"/>
    <x v="1"/>
    <x v="190"/>
    <x v="1"/>
  </r>
  <r>
    <x v="199"/>
    <x v="199"/>
    <x v="73"/>
    <s v="Male"/>
    <x v="3"/>
    <s v="Dr. Ali"/>
    <x v="2"/>
    <x v="191"/>
    <x v="1"/>
  </r>
  <r>
    <x v="200"/>
    <x v="200"/>
    <x v="80"/>
    <s v="Male"/>
    <x v="5"/>
    <s v="Dr. Sara"/>
    <x v="3"/>
    <x v="192"/>
    <x v="1"/>
  </r>
  <r>
    <x v="201"/>
    <x v="201"/>
    <x v="65"/>
    <s v="Female"/>
    <x v="3"/>
    <s v="Dr. John"/>
    <x v="3"/>
    <x v="193"/>
    <x v="1"/>
  </r>
  <r>
    <x v="202"/>
    <x v="202"/>
    <x v="17"/>
    <s v="Female"/>
    <x v="1"/>
    <s v="Dr. Ahmed"/>
    <x v="0"/>
    <x v="194"/>
    <x v="1"/>
  </r>
  <r>
    <x v="203"/>
    <x v="203"/>
    <x v="53"/>
    <s v="Male"/>
    <x v="0"/>
    <s v="Dr. Sara"/>
    <x v="0"/>
    <x v="195"/>
    <x v="1"/>
  </r>
  <r>
    <x v="204"/>
    <x v="204"/>
    <x v="70"/>
    <s v="Female"/>
    <x v="7"/>
    <s v="Dr. Ali"/>
    <x v="3"/>
    <x v="196"/>
    <x v="1"/>
  </r>
  <r>
    <x v="205"/>
    <x v="205"/>
    <x v="68"/>
    <s v="Male"/>
    <x v="1"/>
    <s v="Dr. David"/>
    <x v="1"/>
    <x v="197"/>
    <x v="0"/>
  </r>
  <r>
    <x v="206"/>
    <x v="206"/>
    <x v="55"/>
    <s v="Male"/>
    <x v="6"/>
    <s v="Dr. Sara"/>
    <x v="0"/>
    <x v="198"/>
    <x v="1"/>
  </r>
  <r>
    <x v="207"/>
    <x v="207"/>
    <x v="19"/>
    <s v="Female"/>
    <x v="4"/>
    <s v="Dr. Emma"/>
    <x v="2"/>
    <x v="199"/>
    <x v="1"/>
  </r>
  <r>
    <x v="208"/>
    <x v="208"/>
    <x v="61"/>
    <s v="Male"/>
    <x v="0"/>
    <s v="Dr. Sara"/>
    <x v="1"/>
    <x v="200"/>
    <x v="1"/>
  </r>
  <r>
    <x v="209"/>
    <x v="209"/>
    <x v="48"/>
    <s v="Male"/>
    <x v="4"/>
    <s v="Dr. Maria"/>
    <x v="1"/>
    <x v="201"/>
    <x v="0"/>
  </r>
  <r>
    <x v="210"/>
    <x v="210"/>
    <x v="81"/>
    <s v="Male"/>
    <x v="5"/>
    <s v="Dr. Emma"/>
    <x v="3"/>
    <x v="202"/>
    <x v="1"/>
  </r>
  <r>
    <x v="211"/>
    <x v="211"/>
    <x v="19"/>
    <s v="Female"/>
    <x v="1"/>
    <s v="Dr. John"/>
    <x v="2"/>
    <x v="203"/>
    <x v="1"/>
  </r>
  <r>
    <x v="212"/>
    <x v="212"/>
    <x v="58"/>
    <s v="Male"/>
    <x v="0"/>
    <s v="Dr. Emma"/>
    <x v="3"/>
    <x v="204"/>
    <x v="0"/>
  </r>
  <r>
    <x v="213"/>
    <x v="213"/>
    <x v="34"/>
    <s v="Male"/>
    <x v="3"/>
    <s v="Dr. Ahmed"/>
    <x v="2"/>
    <x v="205"/>
    <x v="1"/>
  </r>
  <r>
    <x v="214"/>
    <x v="214"/>
    <x v="55"/>
    <s v="Female"/>
    <x v="2"/>
    <s v="Dr. John"/>
    <x v="3"/>
    <x v="206"/>
    <x v="1"/>
  </r>
  <r>
    <x v="215"/>
    <x v="215"/>
    <x v="34"/>
    <s v="Male"/>
    <x v="1"/>
    <s v="Dr. Maria"/>
    <x v="1"/>
    <x v="207"/>
    <x v="0"/>
  </r>
  <r>
    <x v="216"/>
    <x v="216"/>
    <x v="17"/>
    <s v="Female"/>
    <x v="3"/>
    <s v="Dr. Sara"/>
    <x v="0"/>
    <x v="208"/>
    <x v="0"/>
  </r>
  <r>
    <x v="217"/>
    <x v="217"/>
    <x v="63"/>
    <s v="Female"/>
    <x v="1"/>
    <s v="Dr. Ahmed"/>
    <x v="1"/>
    <x v="209"/>
    <x v="1"/>
  </r>
  <r>
    <x v="218"/>
    <x v="218"/>
    <x v="14"/>
    <s v="Female"/>
    <x v="5"/>
    <s v="Dr. David"/>
    <x v="1"/>
    <x v="210"/>
    <x v="0"/>
  </r>
  <r>
    <x v="219"/>
    <x v="219"/>
    <x v="6"/>
    <s v="Male"/>
    <x v="2"/>
    <s v="Dr. Ali"/>
    <x v="1"/>
    <x v="211"/>
    <x v="0"/>
  </r>
  <r>
    <x v="220"/>
    <x v="220"/>
    <x v="47"/>
    <s v="Female"/>
    <x v="0"/>
    <s v="Dr. Sara"/>
    <x v="2"/>
    <x v="212"/>
    <x v="0"/>
  </r>
  <r>
    <x v="221"/>
    <x v="221"/>
    <x v="7"/>
    <s v="Male"/>
    <x v="0"/>
    <s v="Dr. Ahmed"/>
    <x v="0"/>
    <x v="213"/>
    <x v="0"/>
  </r>
  <r>
    <x v="222"/>
    <x v="222"/>
    <x v="53"/>
    <s v="Male"/>
    <x v="0"/>
    <s v="Dr. David"/>
    <x v="3"/>
    <x v="214"/>
    <x v="1"/>
  </r>
  <r>
    <x v="223"/>
    <x v="223"/>
    <x v="42"/>
    <s v="Male"/>
    <x v="6"/>
    <s v="Dr. John"/>
    <x v="1"/>
    <x v="215"/>
    <x v="0"/>
  </r>
  <r>
    <x v="224"/>
    <x v="224"/>
    <x v="15"/>
    <s v="Female"/>
    <x v="3"/>
    <s v="Dr. Ali"/>
    <x v="2"/>
    <x v="216"/>
    <x v="1"/>
  </r>
  <r>
    <x v="225"/>
    <x v="225"/>
    <x v="82"/>
    <s v="Male"/>
    <x v="0"/>
    <s v="Dr. Ali"/>
    <x v="0"/>
    <x v="217"/>
    <x v="0"/>
  </r>
  <r>
    <x v="226"/>
    <x v="226"/>
    <x v="49"/>
    <s v="Female"/>
    <x v="0"/>
    <s v="Dr. David"/>
    <x v="3"/>
    <x v="218"/>
    <x v="1"/>
  </r>
  <r>
    <x v="227"/>
    <x v="227"/>
    <x v="37"/>
    <s v="Female"/>
    <x v="1"/>
    <s v="Dr. Emma"/>
    <x v="3"/>
    <x v="219"/>
    <x v="0"/>
  </r>
  <r>
    <x v="228"/>
    <x v="228"/>
    <x v="21"/>
    <s v="Male"/>
    <x v="1"/>
    <s v="Dr. John"/>
    <x v="0"/>
    <x v="220"/>
    <x v="0"/>
  </r>
  <r>
    <x v="229"/>
    <x v="229"/>
    <x v="83"/>
    <s v="Male"/>
    <x v="7"/>
    <s v="Dr. John"/>
    <x v="1"/>
    <x v="182"/>
    <x v="1"/>
  </r>
  <r>
    <x v="230"/>
    <x v="230"/>
    <x v="44"/>
    <s v="Female"/>
    <x v="2"/>
    <s v="Dr. Emma"/>
    <x v="0"/>
    <x v="221"/>
    <x v="1"/>
  </r>
  <r>
    <x v="231"/>
    <x v="231"/>
    <x v="24"/>
    <s v="Male"/>
    <x v="4"/>
    <s v="Dr. Sara"/>
    <x v="1"/>
    <x v="222"/>
    <x v="0"/>
  </r>
  <r>
    <x v="232"/>
    <x v="232"/>
    <x v="26"/>
    <s v="Female"/>
    <x v="7"/>
    <s v="Dr. Maria"/>
    <x v="0"/>
    <x v="223"/>
    <x v="1"/>
  </r>
  <r>
    <x v="233"/>
    <x v="233"/>
    <x v="73"/>
    <s v="Female"/>
    <x v="3"/>
    <s v="Dr. Sara"/>
    <x v="0"/>
    <x v="224"/>
    <x v="0"/>
  </r>
  <r>
    <x v="234"/>
    <x v="234"/>
    <x v="36"/>
    <s v="Male"/>
    <x v="7"/>
    <s v="Dr. Maria"/>
    <x v="0"/>
    <x v="225"/>
    <x v="0"/>
  </r>
  <r>
    <x v="235"/>
    <x v="235"/>
    <x v="32"/>
    <s v="Male"/>
    <x v="6"/>
    <s v="Dr. David"/>
    <x v="0"/>
    <x v="226"/>
    <x v="0"/>
  </r>
  <r>
    <x v="236"/>
    <x v="236"/>
    <x v="56"/>
    <s v="Female"/>
    <x v="5"/>
    <s v="Dr. Ahmed"/>
    <x v="3"/>
    <x v="227"/>
    <x v="1"/>
  </r>
  <r>
    <x v="237"/>
    <x v="237"/>
    <x v="55"/>
    <s v="Male"/>
    <x v="2"/>
    <s v="Dr. Ali"/>
    <x v="2"/>
    <x v="228"/>
    <x v="1"/>
  </r>
  <r>
    <x v="238"/>
    <x v="238"/>
    <x v="83"/>
    <s v="Male"/>
    <x v="5"/>
    <s v="Dr. Emma"/>
    <x v="1"/>
    <x v="87"/>
    <x v="1"/>
  </r>
  <r>
    <x v="239"/>
    <x v="239"/>
    <x v="50"/>
    <s v="Female"/>
    <x v="5"/>
    <s v="Dr. Emma"/>
    <x v="1"/>
    <x v="229"/>
    <x v="0"/>
  </r>
  <r>
    <x v="240"/>
    <x v="240"/>
    <x v="42"/>
    <s v="Female"/>
    <x v="3"/>
    <s v="Dr. John"/>
    <x v="1"/>
    <x v="230"/>
    <x v="1"/>
  </r>
  <r>
    <x v="241"/>
    <x v="241"/>
    <x v="53"/>
    <s v="Female"/>
    <x v="1"/>
    <s v="Dr. Maria"/>
    <x v="1"/>
    <x v="231"/>
    <x v="0"/>
  </r>
  <r>
    <x v="242"/>
    <x v="242"/>
    <x v="54"/>
    <s v="Female"/>
    <x v="0"/>
    <s v="Dr. Ali"/>
    <x v="0"/>
    <x v="232"/>
    <x v="0"/>
  </r>
  <r>
    <x v="243"/>
    <x v="243"/>
    <x v="36"/>
    <s v="Female"/>
    <x v="1"/>
    <s v="Dr. Emma"/>
    <x v="3"/>
    <x v="233"/>
    <x v="1"/>
  </r>
  <r>
    <x v="244"/>
    <x v="244"/>
    <x v="5"/>
    <s v="Female"/>
    <x v="1"/>
    <s v="Dr. Emma"/>
    <x v="2"/>
    <x v="234"/>
    <x v="0"/>
  </r>
  <r>
    <x v="245"/>
    <x v="245"/>
    <x v="6"/>
    <s v="Female"/>
    <x v="5"/>
    <s v="Dr. Ahmed"/>
    <x v="0"/>
    <x v="235"/>
    <x v="1"/>
  </r>
  <r>
    <x v="246"/>
    <x v="246"/>
    <x v="27"/>
    <s v="Female"/>
    <x v="1"/>
    <s v="Dr. Sara"/>
    <x v="2"/>
    <x v="236"/>
    <x v="0"/>
  </r>
  <r>
    <x v="247"/>
    <x v="247"/>
    <x v="23"/>
    <s v="Male"/>
    <x v="4"/>
    <s v="Dr. Ali"/>
    <x v="3"/>
    <x v="237"/>
    <x v="0"/>
  </r>
  <r>
    <x v="248"/>
    <x v="248"/>
    <x v="55"/>
    <s v="Female"/>
    <x v="1"/>
    <s v="Dr. Ali"/>
    <x v="2"/>
    <x v="238"/>
    <x v="0"/>
  </r>
  <r>
    <x v="249"/>
    <x v="249"/>
    <x v="72"/>
    <s v="Female"/>
    <x v="7"/>
    <s v="Dr. David"/>
    <x v="2"/>
    <x v="56"/>
    <x v="1"/>
  </r>
  <r>
    <x v="250"/>
    <x v="250"/>
    <x v="58"/>
    <s v="Male"/>
    <x v="5"/>
    <s v="Dr. Ali"/>
    <x v="0"/>
    <x v="239"/>
    <x v="0"/>
  </r>
  <r>
    <x v="251"/>
    <x v="251"/>
    <x v="69"/>
    <s v="Female"/>
    <x v="6"/>
    <s v="Dr. Ahmed"/>
    <x v="3"/>
    <x v="240"/>
    <x v="1"/>
  </r>
  <r>
    <x v="252"/>
    <x v="252"/>
    <x v="35"/>
    <s v="Female"/>
    <x v="0"/>
    <s v="Dr. Ahmed"/>
    <x v="0"/>
    <x v="241"/>
    <x v="1"/>
  </r>
  <r>
    <x v="253"/>
    <x v="253"/>
    <x v="37"/>
    <s v="Female"/>
    <x v="1"/>
    <s v="Dr. David"/>
    <x v="3"/>
    <x v="242"/>
    <x v="1"/>
  </r>
  <r>
    <x v="254"/>
    <x v="254"/>
    <x v="71"/>
    <s v="Male"/>
    <x v="3"/>
    <s v="Dr. Maria"/>
    <x v="1"/>
    <x v="15"/>
    <x v="0"/>
  </r>
  <r>
    <x v="255"/>
    <x v="255"/>
    <x v="22"/>
    <s v="Male"/>
    <x v="5"/>
    <s v="Dr. David"/>
    <x v="1"/>
    <x v="243"/>
    <x v="1"/>
  </r>
  <r>
    <x v="256"/>
    <x v="256"/>
    <x v="7"/>
    <s v="Male"/>
    <x v="6"/>
    <s v="Dr. Sara"/>
    <x v="3"/>
    <x v="244"/>
    <x v="0"/>
  </r>
  <r>
    <x v="257"/>
    <x v="257"/>
    <x v="32"/>
    <s v="Male"/>
    <x v="6"/>
    <s v="Dr. David"/>
    <x v="0"/>
    <x v="245"/>
    <x v="0"/>
  </r>
  <r>
    <x v="258"/>
    <x v="258"/>
    <x v="78"/>
    <s v="Male"/>
    <x v="0"/>
    <s v="Dr. Emma"/>
    <x v="3"/>
    <x v="246"/>
    <x v="0"/>
  </r>
  <r>
    <x v="259"/>
    <x v="259"/>
    <x v="71"/>
    <s v="Male"/>
    <x v="0"/>
    <s v="Dr. Maria"/>
    <x v="0"/>
    <x v="247"/>
    <x v="1"/>
  </r>
  <r>
    <x v="260"/>
    <x v="260"/>
    <x v="84"/>
    <s v="Male"/>
    <x v="5"/>
    <s v="Dr. Maria"/>
    <x v="1"/>
    <x v="248"/>
    <x v="1"/>
  </r>
  <r>
    <x v="261"/>
    <x v="261"/>
    <x v="79"/>
    <s v="Female"/>
    <x v="2"/>
    <s v="Dr. Ahmed"/>
    <x v="3"/>
    <x v="249"/>
    <x v="1"/>
  </r>
  <r>
    <x v="262"/>
    <x v="262"/>
    <x v="33"/>
    <s v="Male"/>
    <x v="3"/>
    <s v="Dr. David"/>
    <x v="2"/>
    <x v="250"/>
    <x v="1"/>
  </r>
  <r>
    <x v="263"/>
    <x v="263"/>
    <x v="19"/>
    <s v="Female"/>
    <x v="4"/>
    <s v="Dr. David"/>
    <x v="0"/>
    <x v="251"/>
    <x v="1"/>
  </r>
  <r>
    <x v="264"/>
    <x v="264"/>
    <x v="29"/>
    <s v="Male"/>
    <x v="6"/>
    <s v="Dr. Maria"/>
    <x v="2"/>
    <x v="252"/>
    <x v="0"/>
  </r>
  <r>
    <x v="265"/>
    <x v="265"/>
    <x v="54"/>
    <s v="Male"/>
    <x v="3"/>
    <s v="Dr. John"/>
    <x v="2"/>
    <x v="253"/>
    <x v="1"/>
  </r>
  <r>
    <x v="266"/>
    <x v="266"/>
    <x v="47"/>
    <s v="Female"/>
    <x v="7"/>
    <s v="Dr. Ali"/>
    <x v="1"/>
    <x v="254"/>
    <x v="0"/>
  </r>
  <r>
    <x v="267"/>
    <x v="267"/>
    <x v="58"/>
    <s v="Female"/>
    <x v="3"/>
    <s v="Dr. Ahmed"/>
    <x v="0"/>
    <x v="255"/>
    <x v="1"/>
  </r>
  <r>
    <x v="268"/>
    <x v="268"/>
    <x v="63"/>
    <s v="Male"/>
    <x v="3"/>
    <s v="Dr. John"/>
    <x v="1"/>
    <x v="256"/>
    <x v="1"/>
  </r>
  <r>
    <x v="269"/>
    <x v="269"/>
    <x v="39"/>
    <s v="Male"/>
    <x v="2"/>
    <s v="Dr. Emma"/>
    <x v="3"/>
    <x v="257"/>
    <x v="1"/>
  </r>
  <r>
    <x v="270"/>
    <x v="270"/>
    <x v="13"/>
    <s v="Male"/>
    <x v="2"/>
    <s v="Dr. Emma"/>
    <x v="1"/>
    <x v="258"/>
    <x v="1"/>
  </r>
  <r>
    <x v="271"/>
    <x v="271"/>
    <x v="70"/>
    <s v="Male"/>
    <x v="0"/>
    <s v="Dr. David"/>
    <x v="2"/>
    <x v="259"/>
    <x v="1"/>
  </r>
  <r>
    <x v="272"/>
    <x v="272"/>
    <x v="14"/>
    <s v="Male"/>
    <x v="2"/>
    <s v="Dr. John"/>
    <x v="2"/>
    <x v="260"/>
    <x v="0"/>
  </r>
  <r>
    <x v="273"/>
    <x v="273"/>
    <x v="59"/>
    <s v="Male"/>
    <x v="3"/>
    <s v="Dr. John"/>
    <x v="0"/>
    <x v="261"/>
    <x v="1"/>
  </r>
  <r>
    <x v="274"/>
    <x v="274"/>
    <x v="82"/>
    <s v="Male"/>
    <x v="1"/>
    <s v="Dr. Ali"/>
    <x v="3"/>
    <x v="18"/>
    <x v="0"/>
  </r>
  <r>
    <x v="275"/>
    <x v="275"/>
    <x v="68"/>
    <s v="Male"/>
    <x v="0"/>
    <s v="Dr. David"/>
    <x v="1"/>
    <x v="262"/>
    <x v="1"/>
  </r>
  <r>
    <x v="276"/>
    <x v="276"/>
    <x v="31"/>
    <s v="Male"/>
    <x v="0"/>
    <s v="Dr. Ahmed"/>
    <x v="1"/>
    <x v="263"/>
    <x v="1"/>
  </r>
  <r>
    <x v="277"/>
    <x v="277"/>
    <x v="24"/>
    <s v="Male"/>
    <x v="0"/>
    <s v="Dr. Emma"/>
    <x v="3"/>
    <x v="264"/>
    <x v="1"/>
  </r>
  <r>
    <x v="278"/>
    <x v="278"/>
    <x v="8"/>
    <s v="Female"/>
    <x v="2"/>
    <s v="Dr. Maria"/>
    <x v="3"/>
    <x v="265"/>
    <x v="0"/>
  </r>
  <r>
    <x v="279"/>
    <x v="279"/>
    <x v="83"/>
    <s v="Male"/>
    <x v="2"/>
    <s v="Dr. Emma"/>
    <x v="2"/>
    <x v="262"/>
    <x v="0"/>
  </r>
  <r>
    <x v="280"/>
    <x v="280"/>
    <x v="3"/>
    <s v="Male"/>
    <x v="0"/>
    <s v="Dr. Ali"/>
    <x v="2"/>
    <x v="266"/>
    <x v="1"/>
  </r>
  <r>
    <x v="281"/>
    <x v="281"/>
    <x v="85"/>
    <s v="Male"/>
    <x v="6"/>
    <s v="Dr. David"/>
    <x v="3"/>
    <x v="267"/>
    <x v="0"/>
  </r>
  <r>
    <x v="282"/>
    <x v="282"/>
    <x v="57"/>
    <s v="Female"/>
    <x v="5"/>
    <s v="Dr. Sara"/>
    <x v="2"/>
    <x v="268"/>
    <x v="0"/>
  </r>
  <r>
    <x v="283"/>
    <x v="283"/>
    <x v="22"/>
    <s v="Female"/>
    <x v="4"/>
    <s v="Dr. John"/>
    <x v="0"/>
    <x v="252"/>
    <x v="1"/>
  </r>
  <r>
    <x v="284"/>
    <x v="284"/>
    <x v="51"/>
    <s v="Male"/>
    <x v="1"/>
    <s v="Dr. David"/>
    <x v="1"/>
    <x v="269"/>
    <x v="1"/>
  </r>
  <r>
    <x v="285"/>
    <x v="285"/>
    <x v="21"/>
    <s v="Female"/>
    <x v="4"/>
    <s v="Dr. John"/>
    <x v="0"/>
    <x v="270"/>
    <x v="0"/>
  </r>
  <r>
    <x v="286"/>
    <x v="286"/>
    <x v="27"/>
    <s v="Male"/>
    <x v="5"/>
    <s v="Dr. Emma"/>
    <x v="1"/>
    <x v="271"/>
    <x v="1"/>
  </r>
  <r>
    <x v="287"/>
    <x v="287"/>
    <x v="40"/>
    <s v="Female"/>
    <x v="7"/>
    <s v="Dr. John"/>
    <x v="0"/>
    <x v="272"/>
    <x v="1"/>
  </r>
  <r>
    <x v="288"/>
    <x v="288"/>
    <x v="60"/>
    <s v="Female"/>
    <x v="5"/>
    <s v="Dr. Emma"/>
    <x v="1"/>
    <x v="273"/>
    <x v="1"/>
  </r>
  <r>
    <x v="289"/>
    <x v="289"/>
    <x v="38"/>
    <s v="Male"/>
    <x v="2"/>
    <s v="Dr. Ali"/>
    <x v="2"/>
    <x v="274"/>
    <x v="1"/>
  </r>
  <r>
    <x v="290"/>
    <x v="290"/>
    <x v="74"/>
    <s v="Female"/>
    <x v="4"/>
    <s v="Dr. Maria"/>
    <x v="2"/>
    <x v="275"/>
    <x v="1"/>
  </r>
  <r>
    <x v="291"/>
    <x v="291"/>
    <x v="35"/>
    <s v="Female"/>
    <x v="6"/>
    <s v="Dr. David"/>
    <x v="2"/>
    <x v="276"/>
    <x v="0"/>
  </r>
  <r>
    <x v="292"/>
    <x v="292"/>
    <x v="46"/>
    <s v="Female"/>
    <x v="0"/>
    <s v="Dr. Ahmed"/>
    <x v="0"/>
    <x v="277"/>
    <x v="1"/>
  </r>
  <r>
    <x v="293"/>
    <x v="293"/>
    <x v="60"/>
    <s v="Female"/>
    <x v="2"/>
    <s v="Dr. Maria"/>
    <x v="0"/>
    <x v="278"/>
    <x v="0"/>
  </r>
  <r>
    <x v="294"/>
    <x v="294"/>
    <x v="68"/>
    <s v="Female"/>
    <x v="6"/>
    <s v="Dr. David"/>
    <x v="0"/>
    <x v="279"/>
    <x v="1"/>
  </r>
  <r>
    <x v="295"/>
    <x v="295"/>
    <x v="6"/>
    <s v="Female"/>
    <x v="1"/>
    <s v="Dr. David"/>
    <x v="1"/>
    <x v="280"/>
    <x v="0"/>
  </r>
  <r>
    <x v="296"/>
    <x v="296"/>
    <x v="11"/>
    <s v="Female"/>
    <x v="5"/>
    <s v="Dr. John"/>
    <x v="0"/>
    <x v="281"/>
    <x v="1"/>
  </r>
  <r>
    <x v="297"/>
    <x v="297"/>
    <x v="21"/>
    <s v="Female"/>
    <x v="4"/>
    <s v="Dr. Emma"/>
    <x v="2"/>
    <x v="282"/>
    <x v="1"/>
  </r>
  <r>
    <x v="298"/>
    <x v="298"/>
    <x v="63"/>
    <s v="Male"/>
    <x v="4"/>
    <s v="Dr. Maria"/>
    <x v="0"/>
    <x v="283"/>
    <x v="1"/>
  </r>
  <r>
    <x v="299"/>
    <x v="299"/>
    <x v="49"/>
    <s v="Female"/>
    <x v="1"/>
    <s v="Dr. John"/>
    <x v="2"/>
    <x v="284"/>
    <x v="1"/>
  </r>
  <r>
    <x v="300"/>
    <x v="300"/>
    <x v="13"/>
    <s v="Male"/>
    <x v="4"/>
    <s v="Dr. Sara"/>
    <x v="0"/>
    <x v="285"/>
    <x v="1"/>
  </r>
  <r>
    <x v="301"/>
    <x v="301"/>
    <x v="73"/>
    <s v="Male"/>
    <x v="6"/>
    <s v="Dr. David"/>
    <x v="1"/>
    <x v="286"/>
    <x v="1"/>
  </r>
  <r>
    <x v="302"/>
    <x v="302"/>
    <x v="17"/>
    <s v="Female"/>
    <x v="1"/>
    <s v="Dr. David"/>
    <x v="0"/>
    <x v="287"/>
    <x v="1"/>
  </r>
  <r>
    <x v="303"/>
    <x v="303"/>
    <x v="86"/>
    <s v="Female"/>
    <x v="7"/>
    <s v="Dr. Maria"/>
    <x v="2"/>
    <x v="288"/>
    <x v="0"/>
  </r>
  <r>
    <x v="304"/>
    <x v="304"/>
    <x v="64"/>
    <s v="Female"/>
    <x v="2"/>
    <s v="Dr. Sara"/>
    <x v="1"/>
    <x v="289"/>
    <x v="0"/>
  </r>
  <r>
    <x v="305"/>
    <x v="305"/>
    <x v="20"/>
    <s v="Male"/>
    <x v="4"/>
    <s v="Dr. Ahmed"/>
    <x v="3"/>
    <x v="290"/>
    <x v="0"/>
  </r>
  <r>
    <x v="306"/>
    <x v="306"/>
    <x v="82"/>
    <s v="Male"/>
    <x v="5"/>
    <s v="Dr. Sara"/>
    <x v="2"/>
    <x v="291"/>
    <x v="1"/>
  </r>
  <r>
    <x v="307"/>
    <x v="307"/>
    <x v="0"/>
    <s v="Female"/>
    <x v="1"/>
    <s v="Dr. Maria"/>
    <x v="2"/>
    <x v="292"/>
    <x v="1"/>
  </r>
  <r>
    <x v="308"/>
    <x v="308"/>
    <x v="29"/>
    <s v="Male"/>
    <x v="6"/>
    <s v="Dr. Sara"/>
    <x v="1"/>
    <x v="293"/>
    <x v="1"/>
  </r>
  <r>
    <x v="309"/>
    <x v="309"/>
    <x v="68"/>
    <s v="Male"/>
    <x v="2"/>
    <s v="Dr. Emma"/>
    <x v="0"/>
    <x v="294"/>
    <x v="0"/>
  </r>
  <r>
    <x v="310"/>
    <x v="310"/>
    <x v="10"/>
    <s v="Male"/>
    <x v="5"/>
    <s v="Dr. Maria"/>
    <x v="2"/>
    <x v="295"/>
    <x v="1"/>
  </r>
  <r>
    <x v="311"/>
    <x v="311"/>
    <x v="1"/>
    <s v="Male"/>
    <x v="0"/>
    <s v="Dr. David"/>
    <x v="2"/>
    <x v="296"/>
    <x v="1"/>
  </r>
  <r>
    <x v="312"/>
    <x v="312"/>
    <x v="75"/>
    <s v="Male"/>
    <x v="1"/>
    <s v="Dr. Emma"/>
    <x v="3"/>
    <x v="297"/>
    <x v="0"/>
  </r>
  <r>
    <x v="313"/>
    <x v="313"/>
    <x v="44"/>
    <s v="Male"/>
    <x v="1"/>
    <s v="Dr. David"/>
    <x v="3"/>
    <x v="298"/>
    <x v="0"/>
  </r>
  <r>
    <x v="314"/>
    <x v="314"/>
    <x v="10"/>
    <s v="Male"/>
    <x v="5"/>
    <s v="Dr. Ali"/>
    <x v="0"/>
    <x v="299"/>
    <x v="0"/>
  </r>
  <r>
    <x v="315"/>
    <x v="315"/>
    <x v="11"/>
    <s v="Male"/>
    <x v="0"/>
    <s v="Dr. John"/>
    <x v="3"/>
    <x v="300"/>
    <x v="1"/>
  </r>
  <r>
    <x v="316"/>
    <x v="316"/>
    <x v="23"/>
    <s v="Female"/>
    <x v="4"/>
    <s v="Dr. David"/>
    <x v="1"/>
    <x v="301"/>
    <x v="1"/>
  </r>
  <r>
    <x v="317"/>
    <x v="317"/>
    <x v="84"/>
    <s v="Male"/>
    <x v="0"/>
    <s v="Dr. Sara"/>
    <x v="3"/>
    <x v="1"/>
    <x v="0"/>
  </r>
  <r>
    <x v="318"/>
    <x v="318"/>
    <x v="43"/>
    <s v="Male"/>
    <x v="2"/>
    <s v="Dr. Ali"/>
    <x v="2"/>
    <x v="302"/>
    <x v="1"/>
  </r>
  <r>
    <x v="319"/>
    <x v="319"/>
    <x v="10"/>
    <s v="Male"/>
    <x v="4"/>
    <s v="Dr. Emma"/>
    <x v="1"/>
    <x v="303"/>
    <x v="0"/>
  </r>
  <r>
    <x v="320"/>
    <x v="320"/>
    <x v="54"/>
    <s v="Female"/>
    <x v="6"/>
    <s v="Dr. John"/>
    <x v="3"/>
    <x v="304"/>
    <x v="1"/>
  </r>
  <r>
    <x v="321"/>
    <x v="321"/>
    <x v="76"/>
    <s v="Female"/>
    <x v="3"/>
    <s v="Dr. Ahmed"/>
    <x v="1"/>
    <x v="305"/>
    <x v="0"/>
  </r>
  <r>
    <x v="322"/>
    <x v="322"/>
    <x v="80"/>
    <s v="Female"/>
    <x v="5"/>
    <s v="Dr. Emma"/>
    <x v="2"/>
    <x v="306"/>
    <x v="0"/>
  </r>
  <r>
    <x v="323"/>
    <x v="323"/>
    <x v="43"/>
    <s v="Male"/>
    <x v="1"/>
    <s v="Dr. Ahmed"/>
    <x v="3"/>
    <x v="307"/>
    <x v="0"/>
  </r>
  <r>
    <x v="324"/>
    <x v="324"/>
    <x v="44"/>
    <s v="Female"/>
    <x v="3"/>
    <s v="Dr. John"/>
    <x v="1"/>
    <x v="308"/>
    <x v="1"/>
  </r>
  <r>
    <x v="325"/>
    <x v="325"/>
    <x v="74"/>
    <s v="Male"/>
    <x v="3"/>
    <s v="Dr. Emma"/>
    <x v="0"/>
    <x v="309"/>
    <x v="0"/>
  </r>
  <r>
    <x v="326"/>
    <x v="326"/>
    <x v="76"/>
    <s v="Female"/>
    <x v="7"/>
    <s v="Dr. Ahmed"/>
    <x v="2"/>
    <x v="310"/>
    <x v="0"/>
  </r>
  <r>
    <x v="327"/>
    <x v="327"/>
    <x v="87"/>
    <s v="Female"/>
    <x v="0"/>
    <s v="Dr. Ali"/>
    <x v="2"/>
    <x v="311"/>
    <x v="1"/>
  </r>
  <r>
    <x v="328"/>
    <x v="328"/>
    <x v="45"/>
    <s v="Male"/>
    <x v="0"/>
    <s v="Dr. Maria"/>
    <x v="0"/>
    <x v="312"/>
    <x v="0"/>
  </r>
  <r>
    <x v="329"/>
    <x v="329"/>
    <x v="52"/>
    <s v="Female"/>
    <x v="2"/>
    <s v="Dr. David"/>
    <x v="2"/>
    <x v="313"/>
    <x v="0"/>
  </r>
  <r>
    <x v="330"/>
    <x v="330"/>
    <x v="43"/>
    <s v="Male"/>
    <x v="2"/>
    <s v="Dr. Sara"/>
    <x v="3"/>
    <x v="314"/>
    <x v="0"/>
  </r>
  <r>
    <x v="331"/>
    <x v="331"/>
    <x v="9"/>
    <s v="Female"/>
    <x v="0"/>
    <s v="Dr. Ahmed"/>
    <x v="3"/>
    <x v="315"/>
    <x v="1"/>
  </r>
  <r>
    <x v="332"/>
    <x v="332"/>
    <x v="48"/>
    <s v="Female"/>
    <x v="2"/>
    <s v="Dr. John"/>
    <x v="1"/>
    <x v="316"/>
    <x v="1"/>
  </r>
  <r>
    <x v="333"/>
    <x v="333"/>
    <x v="44"/>
    <s v="Male"/>
    <x v="2"/>
    <s v="Dr. Ahmed"/>
    <x v="1"/>
    <x v="317"/>
    <x v="0"/>
  </r>
  <r>
    <x v="334"/>
    <x v="334"/>
    <x v="17"/>
    <s v="Male"/>
    <x v="5"/>
    <s v="Dr. Sara"/>
    <x v="2"/>
    <x v="318"/>
    <x v="1"/>
  </r>
  <r>
    <x v="335"/>
    <x v="335"/>
    <x v="37"/>
    <s v="Female"/>
    <x v="1"/>
    <s v="Dr. Ahmed"/>
    <x v="0"/>
    <x v="204"/>
    <x v="0"/>
  </r>
  <r>
    <x v="336"/>
    <x v="336"/>
    <x v="7"/>
    <s v="Male"/>
    <x v="5"/>
    <s v="Dr. David"/>
    <x v="2"/>
    <x v="319"/>
    <x v="1"/>
  </r>
  <r>
    <x v="337"/>
    <x v="337"/>
    <x v="29"/>
    <s v="Female"/>
    <x v="0"/>
    <s v="Dr. Ahmed"/>
    <x v="1"/>
    <x v="320"/>
    <x v="1"/>
  </r>
  <r>
    <x v="338"/>
    <x v="338"/>
    <x v="45"/>
    <s v="Female"/>
    <x v="7"/>
    <s v="Dr. Maria"/>
    <x v="1"/>
    <x v="321"/>
    <x v="1"/>
  </r>
  <r>
    <x v="339"/>
    <x v="339"/>
    <x v="38"/>
    <s v="Female"/>
    <x v="2"/>
    <s v="Dr. David"/>
    <x v="1"/>
    <x v="322"/>
    <x v="1"/>
  </r>
  <r>
    <x v="340"/>
    <x v="340"/>
    <x v="39"/>
    <s v="Female"/>
    <x v="6"/>
    <s v="Dr. Sara"/>
    <x v="3"/>
    <x v="121"/>
    <x v="1"/>
  </r>
  <r>
    <x v="341"/>
    <x v="341"/>
    <x v="1"/>
    <s v="Male"/>
    <x v="1"/>
    <s v="Dr. Ali"/>
    <x v="2"/>
    <x v="323"/>
    <x v="1"/>
  </r>
  <r>
    <x v="342"/>
    <x v="342"/>
    <x v="84"/>
    <s v="Male"/>
    <x v="7"/>
    <s v="Dr. Emma"/>
    <x v="2"/>
    <x v="324"/>
    <x v="1"/>
  </r>
  <r>
    <x v="343"/>
    <x v="343"/>
    <x v="53"/>
    <s v="Female"/>
    <x v="2"/>
    <s v="Dr. John"/>
    <x v="3"/>
    <x v="313"/>
    <x v="1"/>
  </r>
  <r>
    <x v="344"/>
    <x v="344"/>
    <x v="70"/>
    <s v="Female"/>
    <x v="7"/>
    <s v="Dr. David"/>
    <x v="2"/>
    <x v="47"/>
    <x v="1"/>
  </r>
  <r>
    <x v="345"/>
    <x v="345"/>
    <x v="28"/>
    <s v="Female"/>
    <x v="1"/>
    <s v="Dr. Ali"/>
    <x v="0"/>
    <x v="325"/>
    <x v="0"/>
  </r>
  <r>
    <x v="346"/>
    <x v="346"/>
    <x v="39"/>
    <s v="Female"/>
    <x v="4"/>
    <s v="Dr. John"/>
    <x v="0"/>
    <x v="326"/>
    <x v="0"/>
  </r>
  <r>
    <x v="347"/>
    <x v="347"/>
    <x v="25"/>
    <s v="Male"/>
    <x v="6"/>
    <s v="Dr. John"/>
    <x v="3"/>
    <x v="327"/>
    <x v="0"/>
  </r>
  <r>
    <x v="348"/>
    <x v="348"/>
    <x v="66"/>
    <s v="Male"/>
    <x v="5"/>
    <s v="Dr. Ali"/>
    <x v="1"/>
    <x v="328"/>
    <x v="0"/>
  </r>
  <r>
    <x v="349"/>
    <x v="349"/>
    <x v="51"/>
    <s v="Male"/>
    <x v="4"/>
    <s v="Dr. Ahmed"/>
    <x v="1"/>
    <x v="329"/>
    <x v="0"/>
  </r>
  <r>
    <x v="350"/>
    <x v="350"/>
    <x v="29"/>
    <s v="Female"/>
    <x v="4"/>
    <s v="Dr. Emma"/>
    <x v="2"/>
    <x v="330"/>
    <x v="1"/>
  </r>
  <r>
    <x v="351"/>
    <x v="351"/>
    <x v="69"/>
    <s v="Male"/>
    <x v="3"/>
    <s v="Dr. Sara"/>
    <x v="0"/>
    <x v="331"/>
    <x v="0"/>
  </r>
  <r>
    <x v="352"/>
    <x v="352"/>
    <x v="73"/>
    <s v="Male"/>
    <x v="6"/>
    <s v="Dr. Sara"/>
    <x v="1"/>
    <x v="332"/>
    <x v="0"/>
  </r>
  <r>
    <x v="353"/>
    <x v="353"/>
    <x v="3"/>
    <s v="Male"/>
    <x v="4"/>
    <s v="Dr. Ali"/>
    <x v="3"/>
    <x v="333"/>
    <x v="1"/>
  </r>
  <r>
    <x v="354"/>
    <x v="354"/>
    <x v="47"/>
    <s v="Female"/>
    <x v="3"/>
    <s v="Dr. David"/>
    <x v="3"/>
    <x v="334"/>
    <x v="1"/>
  </r>
  <r>
    <x v="355"/>
    <x v="355"/>
    <x v="30"/>
    <s v="Male"/>
    <x v="0"/>
    <s v="Dr. John"/>
    <x v="0"/>
    <x v="335"/>
    <x v="0"/>
  </r>
  <r>
    <x v="356"/>
    <x v="356"/>
    <x v="35"/>
    <s v="Female"/>
    <x v="2"/>
    <s v="Dr. David"/>
    <x v="0"/>
    <x v="336"/>
    <x v="1"/>
  </r>
  <r>
    <x v="357"/>
    <x v="357"/>
    <x v="10"/>
    <s v="Female"/>
    <x v="6"/>
    <s v="Dr. Ahmed"/>
    <x v="2"/>
    <x v="337"/>
    <x v="0"/>
  </r>
  <r>
    <x v="358"/>
    <x v="358"/>
    <x v="48"/>
    <s v="Male"/>
    <x v="1"/>
    <s v="Dr. Sara"/>
    <x v="1"/>
    <x v="338"/>
    <x v="1"/>
  </r>
  <r>
    <x v="359"/>
    <x v="359"/>
    <x v="18"/>
    <s v="Female"/>
    <x v="6"/>
    <s v="Dr. John"/>
    <x v="3"/>
    <x v="339"/>
    <x v="1"/>
  </r>
  <r>
    <x v="360"/>
    <x v="360"/>
    <x v="66"/>
    <s v="Female"/>
    <x v="0"/>
    <s v="Dr. David"/>
    <x v="0"/>
    <x v="340"/>
    <x v="1"/>
  </r>
  <r>
    <x v="361"/>
    <x v="361"/>
    <x v="8"/>
    <s v="Female"/>
    <x v="0"/>
    <s v="Dr. Sara"/>
    <x v="3"/>
    <x v="296"/>
    <x v="1"/>
  </r>
  <r>
    <x v="362"/>
    <x v="362"/>
    <x v="37"/>
    <s v="Female"/>
    <x v="6"/>
    <s v="Dr. David"/>
    <x v="2"/>
    <x v="341"/>
    <x v="0"/>
  </r>
  <r>
    <x v="363"/>
    <x v="363"/>
    <x v="17"/>
    <s v="Female"/>
    <x v="2"/>
    <s v="Dr. Sara"/>
    <x v="0"/>
    <x v="319"/>
    <x v="0"/>
  </r>
  <r>
    <x v="364"/>
    <x v="364"/>
    <x v="30"/>
    <s v="Male"/>
    <x v="2"/>
    <s v="Dr. Ahmed"/>
    <x v="3"/>
    <x v="342"/>
    <x v="1"/>
  </r>
  <r>
    <x v="365"/>
    <x v="365"/>
    <x v="79"/>
    <s v="Female"/>
    <x v="2"/>
    <s v="Dr. Maria"/>
    <x v="2"/>
    <x v="343"/>
    <x v="0"/>
  </r>
  <r>
    <x v="366"/>
    <x v="366"/>
    <x v="47"/>
    <s v="Female"/>
    <x v="0"/>
    <s v="Dr. David"/>
    <x v="3"/>
    <x v="52"/>
    <x v="0"/>
  </r>
  <r>
    <x v="367"/>
    <x v="367"/>
    <x v="33"/>
    <s v="Female"/>
    <x v="2"/>
    <s v="Dr. Emma"/>
    <x v="3"/>
    <x v="344"/>
    <x v="0"/>
  </r>
  <r>
    <x v="368"/>
    <x v="368"/>
    <x v="65"/>
    <s v="Female"/>
    <x v="7"/>
    <s v="Dr. Maria"/>
    <x v="1"/>
    <x v="345"/>
    <x v="0"/>
  </r>
  <r>
    <x v="369"/>
    <x v="369"/>
    <x v="64"/>
    <s v="Male"/>
    <x v="3"/>
    <s v="Dr. Emma"/>
    <x v="0"/>
    <x v="346"/>
    <x v="1"/>
  </r>
  <r>
    <x v="370"/>
    <x v="370"/>
    <x v="66"/>
    <s v="Female"/>
    <x v="0"/>
    <s v="Dr. David"/>
    <x v="1"/>
    <x v="347"/>
    <x v="1"/>
  </r>
  <r>
    <x v="371"/>
    <x v="371"/>
    <x v="60"/>
    <s v="Male"/>
    <x v="3"/>
    <s v="Dr. Ahmed"/>
    <x v="3"/>
    <x v="348"/>
    <x v="0"/>
  </r>
  <r>
    <x v="372"/>
    <x v="372"/>
    <x v="46"/>
    <s v="Male"/>
    <x v="3"/>
    <s v="Dr. David"/>
    <x v="3"/>
    <x v="349"/>
    <x v="0"/>
  </r>
  <r>
    <x v="373"/>
    <x v="373"/>
    <x v="52"/>
    <s v="Male"/>
    <x v="6"/>
    <s v="Dr. Maria"/>
    <x v="1"/>
    <x v="350"/>
    <x v="1"/>
  </r>
  <r>
    <x v="374"/>
    <x v="374"/>
    <x v="2"/>
    <s v="Male"/>
    <x v="3"/>
    <s v="Dr. David"/>
    <x v="2"/>
    <x v="351"/>
    <x v="1"/>
  </r>
  <r>
    <x v="375"/>
    <x v="375"/>
    <x v="19"/>
    <s v="Female"/>
    <x v="4"/>
    <s v="Dr. Ahmed"/>
    <x v="3"/>
    <x v="352"/>
    <x v="1"/>
  </r>
  <r>
    <x v="376"/>
    <x v="376"/>
    <x v="65"/>
    <s v="Male"/>
    <x v="7"/>
    <s v="Dr. Emma"/>
    <x v="3"/>
    <x v="353"/>
    <x v="0"/>
  </r>
  <r>
    <x v="377"/>
    <x v="377"/>
    <x v="25"/>
    <s v="Male"/>
    <x v="0"/>
    <s v="Dr. David"/>
    <x v="2"/>
    <x v="354"/>
    <x v="0"/>
  </r>
  <r>
    <x v="378"/>
    <x v="378"/>
    <x v="47"/>
    <s v="Male"/>
    <x v="7"/>
    <s v="Dr. Ali"/>
    <x v="1"/>
    <x v="355"/>
    <x v="1"/>
  </r>
  <r>
    <x v="379"/>
    <x v="379"/>
    <x v="66"/>
    <s v="Male"/>
    <x v="1"/>
    <s v="Dr. Emma"/>
    <x v="2"/>
    <x v="356"/>
    <x v="1"/>
  </r>
  <r>
    <x v="380"/>
    <x v="380"/>
    <x v="77"/>
    <s v="Male"/>
    <x v="2"/>
    <s v="Dr. Sara"/>
    <x v="1"/>
    <x v="357"/>
    <x v="0"/>
  </r>
  <r>
    <x v="381"/>
    <x v="381"/>
    <x v="16"/>
    <s v="Male"/>
    <x v="0"/>
    <s v="Dr. Ahmed"/>
    <x v="2"/>
    <x v="358"/>
    <x v="1"/>
  </r>
  <r>
    <x v="382"/>
    <x v="382"/>
    <x v="54"/>
    <s v="Female"/>
    <x v="5"/>
    <s v="Dr. Maria"/>
    <x v="3"/>
    <x v="359"/>
    <x v="1"/>
  </r>
  <r>
    <x v="383"/>
    <x v="383"/>
    <x v="27"/>
    <s v="Male"/>
    <x v="5"/>
    <s v="Dr. Ahmed"/>
    <x v="0"/>
    <x v="360"/>
    <x v="0"/>
  </r>
  <r>
    <x v="384"/>
    <x v="384"/>
    <x v="60"/>
    <s v="Female"/>
    <x v="7"/>
    <s v="Dr. Emma"/>
    <x v="0"/>
    <x v="361"/>
    <x v="1"/>
  </r>
  <r>
    <x v="385"/>
    <x v="385"/>
    <x v="65"/>
    <s v="Male"/>
    <x v="4"/>
    <s v="Dr. David"/>
    <x v="3"/>
    <x v="362"/>
    <x v="0"/>
  </r>
  <r>
    <x v="386"/>
    <x v="386"/>
    <x v="19"/>
    <s v="Female"/>
    <x v="1"/>
    <s v="Dr. Sara"/>
    <x v="3"/>
    <x v="363"/>
    <x v="1"/>
  </r>
  <r>
    <x v="387"/>
    <x v="387"/>
    <x v="78"/>
    <s v="Female"/>
    <x v="4"/>
    <s v="Dr. Maria"/>
    <x v="2"/>
    <x v="364"/>
    <x v="1"/>
  </r>
  <r>
    <x v="388"/>
    <x v="388"/>
    <x v="4"/>
    <s v="Male"/>
    <x v="5"/>
    <s v="Dr. Maria"/>
    <x v="0"/>
    <x v="365"/>
    <x v="0"/>
  </r>
  <r>
    <x v="389"/>
    <x v="389"/>
    <x v="86"/>
    <s v="Male"/>
    <x v="5"/>
    <s v="Dr. Ahmed"/>
    <x v="1"/>
    <x v="366"/>
    <x v="0"/>
  </r>
  <r>
    <x v="390"/>
    <x v="390"/>
    <x v="72"/>
    <s v="Female"/>
    <x v="5"/>
    <s v="Dr. Emma"/>
    <x v="3"/>
    <x v="367"/>
    <x v="0"/>
  </r>
  <r>
    <x v="391"/>
    <x v="391"/>
    <x v="44"/>
    <s v="Male"/>
    <x v="2"/>
    <s v="Dr. Emma"/>
    <x v="1"/>
    <x v="368"/>
    <x v="0"/>
  </r>
  <r>
    <x v="392"/>
    <x v="392"/>
    <x v="40"/>
    <s v="Female"/>
    <x v="7"/>
    <s v="Dr. Sara"/>
    <x v="3"/>
    <x v="369"/>
    <x v="1"/>
  </r>
  <r>
    <x v="393"/>
    <x v="393"/>
    <x v="86"/>
    <s v="Female"/>
    <x v="7"/>
    <s v="Dr. Ahmed"/>
    <x v="2"/>
    <x v="370"/>
    <x v="0"/>
  </r>
  <r>
    <x v="394"/>
    <x v="394"/>
    <x v="8"/>
    <s v="Female"/>
    <x v="1"/>
    <s v="Dr. Emma"/>
    <x v="3"/>
    <x v="371"/>
    <x v="1"/>
  </r>
  <r>
    <x v="395"/>
    <x v="395"/>
    <x v="0"/>
    <s v="Female"/>
    <x v="4"/>
    <s v="Dr. Emma"/>
    <x v="0"/>
    <x v="372"/>
    <x v="1"/>
  </r>
  <r>
    <x v="396"/>
    <x v="396"/>
    <x v="18"/>
    <s v="Female"/>
    <x v="6"/>
    <s v="Dr. Emma"/>
    <x v="3"/>
    <x v="373"/>
    <x v="1"/>
  </r>
  <r>
    <x v="397"/>
    <x v="397"/>
    <x v="29"/>
    <s v="Male"/>
    <x v="7"/>
    <s v="Dr. Maria"/>
    <x v="1"/>
    <x v="374"/>
    <x v="0"/>
  </r>
  <r>
    <x v="398"/>
    <x v="398"/>
    <x v="12"/>
    <s v="Male"/>
    <x v="2"/>
    <s v="Dr. David"/>
    <x v="3"/>
    <x v="375"/>
    <x v="0"/>
  </r>
  <r>
    <x v="399"/>
    <x v="399"/>
    <x v="21"/>
    <s v="Male"/>
    <x v="7"/>
    <s v="Dr. Ahmed"/>
    <x v="2"/>
    <x v="376"/>
    <x v="1"/>
  </r>
  <r>
    <x v="400"/>
    <x v="400"/>
    <x v="23"/>
    <s v="Male"/>
    <x v="3"/>
    <s v="Dr. David"/>
    <x v="2"/>
    <x v="377"/>
    <x v="0"/>
  </r>
  <r>
    <x v="401"/>
    <x v="401"/>
    <x v="4"/>
    <s v="Male"/>
    <x v="7"/>
    <s v="Dr. Ahmed"/>
    <x v="1"/>
    <x v="378"/>
    <x v="1"/>
  </r>
  <r>
    <x v="402"/>
    <x v="402"/>
    <x v="79"/>
    <s v="Female"/>
    <x v="4"/>
    <s v="Dr. Sara"/>
    <x v="2"/>
    <x v="379"/>
    <x v="0"/>
  </r>
  <r>
    <x v="403"/>
    <x v="403"/>
    <x v="27"/>
    <s v="Female"/>
    <x v="4"/>
    <s v="Dr. Ali"/>
    <x v="0"/>
    <x v="380"/>
    <x v="0"/>
  </r>
  <r>
    <x v="404"/>
    <x v="404"/>
    <x v="55"/>
    <s v="Male"/>
    <x v="4"/>
    <s v="Dr. David"/>
    <x v="0"/>
    <x v="381"/>
    <x v="0"/>
  </r>
  <r>
    <x v="405"/>
    <x v="405"/>
    <x v="41"/>
    <s v="Male"/>
    <x v="6"/>
    <s v="Dr. Ahmed"/>
    <x v="2"/>
    <x v="382"/>
    <x v="0"/>
  </r>
  <r>
    <x v="406"/>
    <x v="406"/>
    <x v="31"/>
    <s v="Male"/>
    <x v="3"/>
    <s v="Dr. David"/>
    <x v="2"/>
    <x v="383"/>
    <x v="0"/>
  </r>
  <r>
    <x v="407"/>
    <x v="407"/>
    <x v="29"/>
    <s v="Female"/>
    <x v="0"/>
    <s v="Dr. Sara"/>
    <x v="0"/>
    <x v="384"/>
    <x v="1"/>
  </r>
  <r>
    <x v="408"/>
    <x v="408"/>
    <x v="39"/>
    <s v="Female"/>
    <x v="3"/>
    <s v="Dr. Maria"/>
    <x v="1"/>
    <x v="385"/>
    <x v="0"/>
  </r>
  <r>
    <x v="409"/>
    <x v="409"/>
    <x v="66"/>
    <s v="Male"/>
    <x v="2"/>
    <s v="Dr. Emma"/>
    <x v="2"/>
    <x v="386"/>
    <x v="0"/>
  </r>
  <r>
    <x v="410"/>
    <x v="410"/>
    <x v="16"/>
    <s v="Female"/>
    <x v="5"/>
    <s v="Dr. John"/>
    <x v="0"/>
    <x v="387"/>
    <x v="0"/>
  </r>
  <r>
    <x v="411"/>
    <x v="411"/>
    <x v="52"/>
    <s v="Female"/>
    <x v="7"/>
    <s v="Dr. Sara"/>
    <x v="3"/>
    <x v="388"/>
    <x v="0"/>
  </r>
  <r>
    <x v="412"/>
    <x v="412"/>
    <x v="19"/>
    <s v="Female"/>
    <x v="5"/>
    <s v="Dr. Ali"/>
    <x v="1"/>
    <x v="173"/>
    <x v="1"/>
  </r>
  <r>
    <x v="413"/>
    <x v="413"/>
    <x v="45"/>
    <s v="Male"/>
    <x v="1"/>
    <s v="Dr. David"/>
    <x v="0"/>
    <x v="389"/>
    <x v="0"/>
  </r>
  <r>
    <x v="414"/>
    <x v="414"/>
    <x v="14"/>
    <s v="Male"/>
    <x v="0"/>
    <s v="Dr. David"/>
    <x v="2"/>
    <x v="390"/>
    <x v="0"/>
  </r>
  <r>
    <x v="415"/>
    <x v="415"/>
    <x v="60"/>
    <s v="Male"/>
    <x v="6"/>
    <s v="Dr. Maria"/>
    <x v="1"/>
    <x v="391"/>
    <x v="0"/>
  </r>
  <r>
    <x v="416"/>
    <x v="416"/>
    <x v="26"/>
    <s v="Male"/>
    <x v="2"/>
    <s v="Dr. Emma"/>
    <x v="2"/>
    <x v="392"/>
    <x v="0"/>
  </r>
  <r>
    <x v="417"/>
    <x v="417"/>
    <x v="64"/>
    <s v="Female"/>
    <x v="0"/>
    <s v="Dr. Maria"/>
    <x v="1"/>
    <x v="393"/>
    <x v="0"/>
  </r>
  <r>
    <x v="418"/>
    <x v="418"/>
    <x v="8"/>
    <s v="Female"/>
    <x v="7"/>
    <s v="Dr. David"/>
    <x v="2"/>
    <x v="394"/>
    <x v="0"/>
  </r>
  <r>
    <x v="419"/>
    <x v="419"/>
    <x v="20"/>
    <s v="Male"/>
    <x v="4"/>
    <s v="Dr. John"/>
    <x v="3"/>
    <x v="395"/>
    <x v="0"/>
  </r>
  <r>
    <x v="420"/>
    <x v="420"/>
    <x v="18"/>
    <s v="Female"/>
    <x v="3"/>
    <s v="Dr. David"/>
    <x v="0"/>
    <x v="396"/>
    <x v="0"/>
  </r>
  <r>
    <x v="421"/>
    <x v="421"/>
    <x v="28"/>
    <s v="Male"/>
    <x v="2"/>
    <s v="Dr. Ahmed"/>
    <x v="1"/>
    <x v="397"/>
    <x v="1"/>
  </r>
  <r>
    <x v="422"/>
    <x v="422"/>
    <x v="21"/>
    <s v="Male"/>
    <x v="0"/>
    <s v="Dr. John"/>
    <x v="1"/>
    <x v="398"/>
    <x v="1"/>
  </r>
  <r>
    <x v="423"/>
    <x v="423"/>
    <x v="37"/>
    <s v="Female"/>
    <x v="5"/>
    <s v="Dr. Maria"/>
    <x v="3"/>
    <x v="200"/>
    <x v="0"/>
  </r>
  <r>
    <x v="424"/>
    <x v="424"/>
    <x v="34"/>
    <s v="Female"/>
    <x v="5"/>
    <s v="Dr. Emma"/>
    <x v="1"/>
    <x v="376"/>
    <x v="1"/>
  </r>
  <r>
    <x v="425"/>
    <x v="425"/>
    <x v="77"/>
    <s v="Male"/>
    <x v="0"/>
    <s v="Dr. Maria"/>
    <x v="1"/>
    <x v="399"/>
    <x v="0"/>
  </r>
  <r>
    <x v="426"/>
    <x v="426"/>
    <x v="70"/>
    <s v="Male"/>
    <x v="1"/>
    <s v="Dr. Ali"/>
    <x v="0"/>
    <x v="400"/>
    <x v="1"/>
  </r>
  <r>
    <x v="427"/>
    <x v="427"/>
    <x v="37"/>
    <s v="Male"/>
    <x v="1"/>
    <s v="Dr. Ahmed"/>
    <x v="0"/>
    <x v="401"/>
    <x v="0"/>
  </r>
  <r>
    <x v="428"/>
    <x v="428"/>
    <x v="51"/>
    <s v="Male"/>
    <x v="3"/>
    <s v="Dr. Emma"/>
    <x v="1"/>
    <x v="402"/>
    <x v="0"/>
  </r>
  <r>
    <x v="429"/>
    <x v="429"/>
    <x v="69"/>
    <s v="Male"/>
    <x v="4"/>
    <s v="Dr. John"/>
    <x v="2"/>
    <x v="403"/>
    <x v="1"/>
  </r>
  <r>
    <x v="430"/>
    <x v="430"/>
    <x v="7"/>
    <s v="Female"/>
    <x v="2"/>
    <s v="Dr. David"/>
    <x v="0"/>
    <x v="404"/>
    <x v="1"/>
  </r>
  <r>
    <x v="431"/>
    <x v="431"/>
    <x v="1"/>
    <s v="Female"/>
    <x v="5"/>
    <s v="Dr. Ali"/>
    <x v="0"/>
    <x v="405"/>
    <x v="0"/>
  </r>
  <r>
    <x v="432"/>
    <x v="432"/>
    <x v="71"/>
    <s v="Female"/>
    <x v="2"/>
    <s v="Dr. David"/>
    <x v="3"/>
    <x v="220"/>
    <x v="1"/>
  </r>
  <r>
    <x v="433"/>
    <x v="433"/>
    <x v="80"/>
    <s v="Female"/>
    <x v="0"/>
    <s v="Dr. Ahmed"/>
    <x v="1"/>
    <x v="406"/>
    <x v="0"/>
  </r>
  <r>
    <x v="434"/>
    <x v="434"/>
    <x v="57"/>
    <s v="Female"/>
    <x v="0"/>
    <s v="Dr. John"/>
    <x v="1"/>
    <x v="407"/>
    <x v="1"/>
  </r>
  <r>
    <x v="435"/>
    <x v="435"/>
    <x v="19"/>
    <s v="Male"/>
    <x v="0"/>
    <s v="Dr. Sara"/>
    <x v="3"/>
    <x v="311"/>
    <x v="1"/>
  </r>
  <r>
    <x v="436"/>
    <x v="436"/>
    <x v="4"/>
    <s v="Female"/>
    <x v="2"/>
    <s v="Dr. Ahmed"/>
    <x v="1"/>
    <x v="408"/>
    <x v="0"/>
  </r>
  <r>
    <x v="437"/>
    <x v="437"/>
    <x v="5"/>
    <s v="Male"/>
    <x v="0"/>
    <s v="Dr. Ali"/>
    <x v="3"/>
    <x v="409"/>
    <x v="0"/>
  </r>
  <r>
    <x v="438"/>
    <x v="438"/>
    <x v="33"/>
    <s v="Male"/>
    <x v="6"/>
    <s v="Dr. Ali"/>
    <x v="0"/>
    <x v="410"/>
    <x v="0"/>
  </r>
  <r>
    <x v="439"/>
    <x v="439"/>
    <x v="5"/>
    <s v="Female"/>
    <x v="7"/>
    <s v="Dr. Sara"/>
    <x v="2"/>
    <x v="411"/>
    <x v="0"/>
  </r>
  <r>
    <x v="440"/>
    <x v="440"/>
    <x v="72"/>
    <s v="Female"/>
    <x v="0"/>
    <s v="Dr. David"/>
    <x v="3"/>
    <x v="412"/>
    <x v="0"/>
  </r>
  <r>
    <x v="441"/>
    <x v="441"/>
    <x v="24"/>
    <s v="Male"/>
    <x v="3"/>
    <s v="Dr. David"/>
    <x v="3"/>
    <x v="413"/>
    <x v="1"/>
  </r>
  <r>
    <x v="442"/>
    <x v="442"/>
    <x v="45"/>
    <s v="Female"/>
    <x v="0"/>
    <s v="Dr. Emma"/>
    <x v="3"/>
    <x v="414"/>
    <x v="1"/>
  </r>
  <r>
    <x v="443"/>
    <x v="443"/>
    <x v="30"/>
    <s v="Female"/>
    <x v="2"/>
    <s v="Dr. David"/>
    <x v="3"/>
    <x v="415"/>
    <x v="1"/>
  </r>
  <r>
    <x v="444"/>
    <x v="444"/>
    <x v="74"/>
    <s v="Female"/>
    <x v="4"/>
    <s v="Dr. Sara"/>
    <x v="1"/>
    <x v="416"/>
    <x v="0"/>
  </r>
  <r>
    <x v="445"/>
    <x v="445"/>
    <x v="78"/>
    <s v="Female"/>
    <x v="4"/>
    <s v="Dr. Ahmed"/>
    <x v="2"/>
    <x v="225"/>
    <x v="1"/>
  </r>
  <r>
    <x v="446"/>
    <x v="446"/>
    <x v="23"/>
    <s v="Male"/>
    <x v="6"/>
    <s v="Dr. Ali"/>
    <x v="3"/>
    <x v="417"/>
    <x v="0"/>
  </r>
  <r>
    <x v="447"/>
    <x v="447"/>
    <x v="33"/>
    <s v="Male"/>
    <x v="0"/>
    <s v="Dr. Ali"/>
    <x v="2"/>
    <x v="418"/>
    <x v="1"/>
  </r>
  <r>
    <x v="448"/>
    <x v="448"/>
    <x v="57"/>
    <s v="Male"/>
    <x v="3"/>
    <s v="Dr. John"/>
    <x v="3"/>
    <x v="419"/>
    <x v="0"/>
  </r>
  <r>
    <x v="449"/>
    <x v="449"/>
    <x v="2"/>
    <s v="Female"/>
    <x v="0"/>
    <s v="Dr. Sara"/>
    <x v="1"/>
    <x v="420"/>
    <x v="1"/>
  </r>
  <r>
    <x v="450"/>
    <x v="450"/>
    <x v="70"/>
    <s v="Female"/>
    <x v="0"/>
    <s v="Dr. David"/>
    <x v="2"/>
    <x v="421"/>
    <x v="0"/>
  </r>
  <r>
    <x v="451"/>
    <x v="451"/>
    <x v="83"/>
    <s v="Male"/>
    <x v="4"/>
    <s v="Dr. Maria"/>
    <x v="2"/>
    <x v="422"/>
    <x v="0"/>
  </r>
  <r>
    <x v="452"/>
    <x v="452"/>
    <x v="1"/>
    <s v="Female"/>
    <x v="1"/>
    <s v="Dr. Maria"/>
    <x v="0"/>
    <x v="423"/>
    <x v="0"/>
  </r>
  <r>
    <x v="453"/>
    <x v="453"/>
    <x v="13"/>
    <s v="Female"/>
    <x v="2"/>
    <s v="Dr. David"/>
    <x v="3"/>
    <x v="424"/>
    <x v="0"/>
  </r>
  <r>
    <x v="454"/>
    <x v="454"/>
    <x v="63"/>
    <s v="Female"/>
    <x v="5"/>
    <s v="Dr. Ali"/>
    <x v="1"/>
    <x v="230"/>
    <x v="1"/>
  </r>
  <r>
    <x v="455"/>
    <x v="455"/>
    <x v="8"/>
    <s v="Female"/>
    <x v="6"/>
    <s v="Dr. David"/>
    <x v="2"/>
    <x v="425"/>
    <x v="1"/>
  </r>
  <r>
    <x v="456"/>
    <x v="456"/>
    <x v="88"/>
    <s v="Female"/>
    <x v="4"/>
    <s v="Dr. Emma"/>
    <x v="2"/>
    <x v="426"/>
    <x v="0"/>
  </r>
  <r>
    <x v="457"/>
    <x v="457"/>
    <x v="35"/>
    <s v="Female"/>
    <x v="7"/>
    <s v="Dr. Ahmed"/>
    <x v="3"/>
    <x v="427"/>
    <x v="1"/>
  </r>
  <r>
    <x v="458"/>
    <x v="458"/>
    <x v="52"/>
    <s v="Female"/>
    <x v="2"/>
    <s v="Dr. John"/>
    <x v="1"/>
    <x v="428"/>
    <x v="1"/>
  </r>
  <r>
    <x v="459"/>
    <x v="459"/>
    <x v="14"/>
    <s v="Female"/>
    <x v="2"/>
    <s v="Dr. David"/>
    <x v="3"/>
    <x v="429"/>
    <x v="1"/>
  </r>
  <r>
    <x v="460"/>
    <x v="460"/>
    <x v="22"/>
    <s v="Female"/>
    <x v="1"/>
    <s v="Dr. Sara"/>
    <x v="2"/>
    <x v="430"/>
    <x v="0"/>
  </r>
  <r>
    <x v="461"/>
    <x v="461"/>
    <x v="38"/>
    <s v="Male"/>
    <x v="7"/>
    <s v="Dr. David"/>
    <x v="0"/>
    <x v="431"/>
    <x v="1"/>
  </r>
  <r>
    <x v="462"/>
    <x v="462"/>
    <x v="86"/>
    <s v="Male"/>
    <x v="4"/>
    <s v="Dr. John"/>
    <x v="1"/>
    <x v="432"/>
    <x v="1"/>
  </r>
  <r>
    <x v="463"/>
    <x v="463"/>
    <x v="1"/>
    <s v="Female"/>
    <x v="0"/>
    <s v="Dr. John"/>
    <x v="0"/>
    <x v="433"/>
    <x v="0"/>
  </r>
  <r>
    <x v="464"/>
    <x v="464"/>
    <x v="65"/>
    <s v="Female"/>
    <x v="2"/>
    <s v="Dr. Maria"/>
    <x v="1"/>
    <x v="434"/>
    <x v="0"/>
  </r>
  <r>
    <x v="465"/>
    <x v="465"/>
    <x v="10"/>
    <s v="Male"/>
    <x v="6"/>
    <s v="Dr. Sara"/>
    <x v="0"/>
    <x v="285"/>
    <x v="1"/>
  </r>
  <r>
    <x v="466"/>
    <x v="466"/>
    <x v="28"/>
    <s v="Male"/>
    <x v="7"/>
    <s v="Dr. John"/>
    <x v="1"/>
    <x v="435"/>
    <x v="0"/>
  </r>
  <r>
    <x v="467"/>
    <x v="467"/>
    <x v="49"/>
    <s v="Female"/>
    <x v="4"/>
    <s v="Dr. John"/>
    <x v="0"/>
    <x v="436"/>
    <x v="0"/>
  </r>
  <r>
    <x v="468"/>
    <x v="468"/>
    <x v="58"/>
    <s v="Male"/>
    <x v="4"/>
    <s v="Dr. David"/>
    <x v="0"/>
    <x v="437"/>
    <x v="1"/>
  </r>
  <r>
    <x v="469"/>
    <x v="469"/>
    <x v="1"/>
    <s v="Male"/>
    <x v="3"/>
    <s v="Dr. John"/>
    <x v="3"/>
    <x v="438"/>
    <x v="1"/>
  </r>
  <r>
    <x v="470"/>
    <x v="470"/>
    <x v="16"/>
    <s v="Female"/>
    <x v="6"/>
    <s v="Dr. Sara"/>
    <x v="2"/>
    <x v="439"/>
    <x v="1"/>
  </r>
  <r>
    <x v="471"/>
    <x v="471"/>
    <x v="37"/>
    <s v="Female"/>
    <x v="5"/>
    <s v="Dr. Ahmed"/>
    <x v="2"/>
    <x v="440"/>
    <x v="0"/>
  </r>
  <r>
    <x v="472"/>
    <x v="472"/>
    <x v="75"/>
    <s v="Female"/>
    <x v="4"/>
    <s v="Dr. Maria"/>
    <x v="3"/>
    <x v="441"/>
    <x v="0"/>
  </r>
  <r>
    <x v="473"/>
    <x v="473"/>
    <x v="5"/>
    <s v="Male"/>
    <x v="7"/>
    <s v="Dr. Emma"/>
    <x v="1"/>
    <x v="140"/>
    <x v="0"/>
  </r>
  <r>
    <x v="474"/>
    <x v="474"/>
    <x v="8"/>
    <s v="Male"/>
    <x v="2"/>
    <s v="Dr. Ahmed"/>
    <x v="3"/>
    <x v="442"/>
    <x v="1"/>
  </r>
  <r>
    <x v="475"/>
    <x v="475"/>
    <x v="32"/>
    <s v="Male"/>
    <x v="5"/>
    <s v="Dr. Maria"/>
    <x v="2"/>
    <x v="443"/>
    <x v="1"/>
  </r>
  <r>
    <x v="476"/>
    <x v="476"/>
    <x v="43"/>
    <s v="Male"/>
    <x v="3"/>
    <s v="Dr. Sara"/>
    <x v="3"/>
    <x v="444"/>
    <x v="1"/>
  </r>
  <r>
    <x v="477"/>
    <x v="477"/>
    <x v="81"/>
    <s v="Female"/>
    <x v="1"/>
    <s v="Dr. David"/>
    <x v="3"/>
    <x v="445"/>
    <x v="1"/>
  </r>
  <r>
    <x v="478"/>
    <x v="478"/>
    <x v="82"/>
    <s v="Female"/>
    <x v="3"/>
    <s v="Dr. Sara"/>
    <x v="0"/>
    <x v="212"/>
    <x v="0"/>
  </r>
  <r>
    <x v="479"/>
    <x v="479"/>
    <x v="42"/>
    <s v="Male"/>
    <x v="0"/>
    <s v="Dr. Ali"/>
    <x v="0"/>
    <x v="446"/>
    <x v="1"/>
  </r>
  <r>
    <x v="480"/>
    <x v="480"/>
    <x v="59"/>
    <s v="Male"/>
    <x v="6"/>
    <s v="Dr. John"/>
    <x v="3"/>
    <x v="447"/>
    <x v="1"/>
  </r>
  <r>
    <x v="481"/>
    <x v="481"/>
    <x v="6"/>
    <s v="Female"/>
    <x v="3"/>
    <s v="Dr. Ahmed"/>
    <x v="2"/>
    <x v="448"/>
    <x v="1"/>
  </r>
  <r>
    <x v="482"/>
    <x v="482"/>
    <x v="40"/>
    <s v="Female"/>
    <x v="6"/>
    <s v="Dr. Ali"/>
    <x v="0"/>
    <x v="449"/>
    <x v="1"/>
  </r>
  <r>
    <x v="483"/>
    <x v="483"/>
    <x v="83"/>
    <s v="Male"/>
    <x v="2"/>
    <s v="Dr. Maria"/>
    <x v="0"/>
    <x v="450"/>
    <x v="0"/>
  </r>
  <r>
    <x v="484"/>
    <x v="484"/>
    <x v="63"/>
    <s v="Female"/>
    <x v="5"/>
    <s v="Dr. Ali"/>
    <x v="3"/>
    <x v="451"/>
    <x v="1"/>
  </r>
  <r>
    <x v="485"/>
    <x v="485"/>
    <x v="80"/>
    <s v="Male"/>
    <x v="1"/>
    <s v="Dr. Emma"/>
    <x v="3"/>
    <x v="452"/>
    <x v="1"/>
  </r>
  <r>
    <x v="486"/>
    <x v="486"/>
    <x v="88"/>
    <s v="Female"/>
    <x v="7"/>
    <s v="Dr. Ahmed"/>
    <x v="1"/>
    <x v="453"/>
    <x v="1"/>
  </r>
  <r>
    <x v="487"/>
    <x v="487"/>
    <x v="84"/>
    <s v="Male"/>
    <x v="3"/>
    <s v="Dr. John"/>
    <x v="3"/>
    <x v="454"/>
    <x v="0"/>
  </r>
  <r>
    <x v="488"/>
    <x v="488"/>
    <x v="50"/>
    <s v="Female"/>
    <x v="3"/>
    <s v="Dr. David"/>
    <x v="1"/>
    <x v="347"/>
    <x v="0"/>
  </r>
  <r>
    <x v="489"/>
    <x v="489"/>
    <x v="56"/>
    <s v="Male"/>
    <x v="4"/>
    <s v="Dr. John"/>
    <x v="2"/>
    <x v="455"/>
    <x v="0"/>
  </r>
  <r>
    <x v="490"/>
    <x v="490"/>
    <x v="56"/>
    <s v="Male"/>
    <x v="3"/>
    <s v="Dr. Emma"/>
    <x v="1"/>
    <x v="456"/>
    <x v="1"/>
  </r>
  <r>
    <x v="491"/>
    <x v="491"/>
    <x v="72"/>
    <s v="Female"/>
    <x v="1"/>
    <s v="Dr. Sara"/>
    <x v="2"/>
    <x v="138"/>
    <x v="0"/>
  </r>
  <r>
    <x v="492"/>
    <x v="492"/>
    <x v="78"/>
    <s v="Female"/>
    <x v="2"/>
    <s v="Dr. John"/>
    <x v="2"/>
    <x v="457"/>
    <x v="1"/>
  </r>
  <r>
    <x v="493"/>
    <x v="493"/>
    <x v="48"/>
    <s v="Male"/>
    <x v="6"/>
    <s v="Dr. Emma"/>
    <x v="2"/>
    <x v="171"/>
    <x v="1"/>
  </r>
  <r>
    <x v="494"/>
    <x v="494"/>
    <x v="54"/>
    <s v="Male"/>
    <x v="3"/>
    <s v="Dr. John"/>
    <x v="3"/>
    <x v="340"/>
    <x v="0"/>
  </r>
  <r>
    <x v="495"/>
    <x v="495"/>
    <x v="70"/>
    <s v="Female"/>
    <x v="3"/>
    <s v="Dr. John"/>
    <x v="2"/>
    <x v="458"/>
    <x v="0"/>
  </r>
  <r>
    <x v="496"/>
    <x v="496"/>
    <x v="33"/>
    <s v="Female"/>
    <x v="5"/>
    <s v="Dr. Ahmed"/>
    <x v="3"/>
    <x v="195"/>
    <x v="1"/>
  </r>
  <r>
    <x v="497"/>
    <x v="497"/>
    <x v="5"/>
    <s v="Female"/>
    <x v="4"/>
    <s v="Dr. Sara"/>
    <x v="2"/>
    <x v="459"/>
    <x v="1"/>
  </r>
  <r>
    <x v="498"/>
    <x v="498"/>
    <x v="34"/>
    <s v="Female"/>
    <x v="4"/>
    <s v="Dr. Sara"/>
    <x v="1"/>
    <x v="98"/>
    <x v="0"/>
  </r>
  <r>
    <x v="499"/>
    <x v="499"/>
    <x v="77"/>
    <s v="Male"/>
    <x v="4"/>
    <s v="Dr. Ali"/>
    <x v="2"/>
    <x v="460"/>
    <x v="0"/>
  </r>
  <r>
    <x v="500"/>
    <x v="500"/>
    <x v="76"/>
    <s v="Female"/>
    <x v="5"/>
    <s v="Dr. Sara"/>
    <x v="2"/>
    <x v="461"/>
    <x v="1"/>
  </r>
  <r>
    <x v="501"/>
    <x v="501"/>
    <x v="5"/>
    <s v="Male"/>
    <x v="3"/>
    <s v="Dr. Maria"/>
    <x v="2"/>
    <x v="43"/>
    <x v="0"/>
  </r>
  <r>
    <x v="502"/>
    <x v="502"/>
    <x v="26"/>
    <s v="Female"/>
    <x v="1"/>
    <s v="Dr. Maria"/>
    <x v="1"/>
    <x v="462"/>
    <x v="0"/>
  </r>
  <r>
    <x v="503"/>
    <x v="503"/>
    <x v="78"/>
    <s v="Female"/>
    <x v="2"/>
    <s v="Dr. Sara"/>
    <x v="3"/>
    <x v="463"/>
    <x v="1"/>
  </r>
  <r>
    <x v="504"/>
    <x v="504"/>
    <x v="0"/>
    <s v="Female"/>
    <x v="0"/>
    <s v="Dr. Ahmed"/>
    <x v="0"/>
    <x v="464"/>
    <x v="1"/>
  </r>
  <r>
    <x v="505"/>
    <x v="505"/>
    <x v="78"/>
    <s v="Female"/>
    <x v="4"/>
    <s v="Dr. Ali"/>
    <x v="3"/>
    <x v="465"/>
    <x v="0"/>
  </r>
  <r>
    <x v="506"/>
    <x v="506"/>
    <x v="80"/>
    <s v="Male"/>
    <x v="6"/>
    <s v="Dr. Emma"/>
    <x v="3"/>
    <x v="466"/>
    <x v="0"/>
  </r>
  <r>
    <x v="507"/>
    <x v="507"/>
    <x v="52"/>
    <s v="Female"/>
    <x v="2"/>
    <s v="Dr. David"/>
    <x v="1"/>
    <x v="467"/>
    <x v="0"/>
  </r>
  <r>
    <x v="508"/>
    <x v="508"/>
    <x v="85"/>
    <s v="Male"/>
    <x v="2"/>
    <s v="Dr. Ali"/>
    <x v="3"/>
    <x v="468"/>
    <x v="1"/>
  </r>
  <r>
    <x v="509"/>
    <x v="509"/>
    <x v="63"/>
    <s v="Male"/>
    <x v="6"/>
    <s v="Dr. David"/>
    <x v="1"/>
    <x v="469"/>
    <x v="1"/>
  </r>
  <r>
    <x v="510"/>
    <x v="510"/>
    <x v="37"/>
    <s v="Female"/>
    <x v="2"/>
    <s v="Dr. Maria"/>
    <x v="1"/>
    <x v="470"/>
    <x v="1"/>
  </r>
  <r>
    <x v="511"/>
    <x v="511"/>
    <x v="43"/>
    <s v="Female"/>
    <x v="5"/>
    <s v="Dr. Ahmed"/>
    <x v="0"/>
    <x v="471"/>
    <x v="1"/>
  </r>
  <r>
    <x v="512"/>
    <x v="512"/>
    <x v="60"/>
    <s v="Female"/>
    <x v="7"/>
    <s v="Dr. Maria"/>
    <x v="1"/>
    <x v="472"/>
    <x v="1"/>
  </r>
  <r>
    <x v="513"/>
    <x v="513"/>
    <x v="3"/>
    <s v="Male"/>
    <x v="3"/>
    <s v="Dr. Sara"/>
    <x v="0"/>
    <x v="473"/>
    <x v="0"/>
  </r>
  <r>
    <x v="514"/>
    <x v="514"/>
    <x v="50"/>
    <s v="Female"/>
    <x v="6"/>
    <s v="Dr. David"/>
    <x v="2"/>
    <x v="218"/>
    <x v="1"/>
  </r>
  <r>
    <x v="515"/>
    <x v="515"/>
    <x v="38"/>
    <s v="Male"/>
    <x v="5"/>
    <s v="Dr. Sara"/>
    <x v="1"/>
    <x v="474"/>
    <x v="0"/>
  </r>
  <r>
    <x v="516"/>
    <x v="516"/>
    <x v="50"/>
    <s v="Female"/>
    <x v="1"/>
    <s v="Dr. Emma"/>
    <x v="0"/>
    <x v="475"/>
    <x v="1"/>
  </r>
  <r>
    <x v="517"/>
    <x v="517"/>
    <x v="68"/>
    <s v="Male"/>
    <x v="5"/>
    <s v="Dr. Ali"/>
    <x v="1"/>
    <x v="305"/>
    <x v="0"/>
  </r>
  <r>
    <x v="518"/>
    <x v="518"/>
    <x v="27"/>
    <s v="Male"/>
    <x v="3"/>
    <s v="Dr. Ahmed"/>
    <x v="3"/>
    <x v="476"/>
    <x v="0"/>
  </r>
  <r>
    <x v="519"/>
    <x v="519"/>
    <x v="46"/>
    <s v="Male"/>
    <x v="4"/>
    <s v="Dr. Ahmed"/>
    <x v="0"/>
    <x v="434"/>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2C426A-C53A-4FEB-81AA-CC2B6E3611EE}" name="PivotTable1" cacheId="8"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7" rowHeaderCaption="Disease">
  <location ref="A3:B11" firstHeaderRow="1" firstDataRow="1" firstDataCol="1"/>
  <pivotFields count="10">
    <pivotField dataField="1" showAll="0">
      <items count="5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t="default"/>
      </items>
    </pivotField>
    <pivotField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axis="axisRow" showAll="0">
      <items count="9">
        <item h="1" x="5"/>
        <item x="3"/>
        <item x="0"/>
        <item x="4"/>
        <item x="7"/>
        <item x="1"/>
        <item x="2"/>
        <item x="6"/>
        <item t="default"/>
      </items>
    </pivotField>
    <pivotField showAll="0"/>
    <pivotField showAll="0">
      <items count="5">
        <item x="2"/>
        <item x="1"/>
        <item x="3"/>
        <item x="0"/>
        <item t="default"/>
      </items>
    </pivotField>
    <pivotField showAll="0">
      <items count="478">
        <item x="283"/>
        <item x="304"/>
        <item x="57"/>
        <item x="336"/>
        <item x="178"/>
        <item x="452"/>
        <item x="65"/>
        <item x="96"/>
        <item x="88"/>
        <item x="94"/>
        <item x="282"/>
        <item x="265"/>
        <item x="180"/>
        <item x="118"/>
        <item x="183"/>
        <item x="422"/>
        <item x="450"/>
        <item x="293"/>
        <item x="123"/>
        <item x="286"/>
        <item x="256"/>
        <item x="166"/>
        <item x="415"/>
        <item x="17"/>
        <item x="205"/>
        <item x="311"/>
        <item x="272"/>
        <item x="464"/>
        <item x="343"/>
        <item x="288"/>
        <item x="103"/>
        <item x="402"/>
        <item x="444"/>
        <item x="349"/>
        <item x="216"/>
        <item x="164"/>
        <item x="167"/>
        <item x="142"/>
        <item x="117"/>
        <item x="22"/>
        <item x="78"/>
        <item x="321"/>
        <item x="352"/>
        <item x="361"/>
        <item x="128"/>
        <item x="330"/>
        <item x="99"/>
        <item x="26"/>
        <item x="332"/>
        <item x="369"/>
        <item x="370"/>
        <item x="21"/>
        <item x="202"/>
        <item x="188"/>
        <item x="85"/>
        <item x="258"/>
        <item x="399"/>
        <item x="351"/>
        <item x="413"/>
        <item x="345"/>
        <item x="449"/>
        <item x="122"/>
        <item x="133"/>
        <item x="135"/>
        <item x="226"/>
        <item x="454"/>
        <item x="5"/>
        <item x="374"/>
        <item x="234"/>
        <item x="47"/>
        <item x="125"/>
        <item x="418"/>
        <item x="8"/>
        <item x="165"/>
        <item x="407"/>
        <item x="391"/>
        <item x="334"/>
        <item x="138"/>
        <item x="257"/>
        <item x="318"/>
        <item x="423"/>
        <item x="416"/>
        <item x="236"/>
        <item x="195"/>
        <item x="255"/>
        <item x="231"/>
        <item x="302"/>
        <item x="386"/>
        <item x="458"/>
        <item x="254"/>
        <item x="378"/>
        <item x="456"/>
        <item x="355"/>
        <item x="471"/>
        <item x="170"/>
        <item x="111"/>
        <item x="294"/>
        <item x="182"/>
        <item x="325"/>
        <item x="320"/>
        <item x="371"/>
        <item x="411"/>
        <item x="326"/>
        <item x="364"/>
        <item x="158"/>
        <item x="24"/>
        <item x="204"/>
        <item x="306"/>
        <item x="9"/>
        <item x="358"/>
        <item x="319"/>
        <item x="90"/>
        <item x="208"/>
        <item x="315"/>
        <item x="114"/>
        <item x="120"/>
        <item x="115"/>
        <item x="382"/>
        <item x="457"/>
        <item x="39"/>
        <item x="84"/>
        <item x="303"/>
        <item x="108"/>
        <item x="403"/>
        <item x="31"/>
        <item x="197"/>
        <item x="366"/>
        <item x="344"/>
        <item x="58"/>
        <item x="392"/>
        <item x="196"/>
        <item x="62"/>
        <item x="420"/>
        <item x="426"/>
        <item x="443"/>
        <item x="43"/>
        <item x="428"/>
        <item x="130"/>
        <item x="275"/>
        <item x="373"/>
        <item x="297"/>
        <item x="451"/>
        <item x="213"/>
        <item x="67"/>
        <item x="384"/>
        <item x="465"/>
        <item x="341"/>
        <item x="89"/>
        <item x="290"/>
        <item x="0"/>
        <item x="460"/>
        <item x="360"/>
        <item x="248"/>
        <item x="50"/>
        <item x="80"/>
        <item x="155"/>
        <item x="156"/>
        <item x="387"/>
        <item x="13"/>
        <item x="109"/>
        <item x="218"/>
        <item x="56"/>
        <item x="102"/>
        <item x="59"/>
        <item x="83"/>
        <item x="359"/>
        <item x="143"/>
        <item x="121"/>
        <item x="242"/>
        <item x="53"/>
        <item x="232"/>
        <item x="112"/>
        <item x="296"/>
        <item x="2"/>
        <item x="338"/>
        <item x="474"/>
        <item x="11"/>
        <item x="379"/>
        <item x="328"/>
        <item x="30"/>
        <item x="445"/>
        <item x="434"/>
        <item x="222"/>
        <item x="271"/>
        <item x="268"/>
        <item x="408"/>
        <item x="192"/>
        <item x="455"/>
        <item x="1"/>
        <item x="40"/>
        <item x="394"/>
        <item x="269"/>
        <item x="124"/>
        <item x="119"/>
        <item x="101"/>
        <item x="48"/>
        <item x="310"/>
        <item x="203"/>
        <item x="406"/>
        <item x="51"/>
        <item x="154"/>
        <item x="433"/>
        <item x="419"/>
        <item x="7"/>
        <item x="375"/>
        <item x="467"/>
        <item x="209"/>
        <item x="298"/>
        <item x="233"/>
        <item x="146"/>
        <item x="191"/>
        <item x="432"/>
        <item x="339"/>
        <item x="74"/>
        <item x="421"/>
        <item x="25"/>
        <item x="381"/>
        <item x="219"/>
        <item x="23"/>
        <item x="113"/>
        <item x="14"/>
        <item x="337"/>
        <item x="20"/>
        <item x="390"/>
        <item x="376"/>
        <item x="214"/>
        <item x="145"/>
        <item x="49"/>
        <item x="217"/>
        <item x="347"/>
        <item x="238"/>
        <item x="393"/>
        <item x="244"/>
        <item x="472"/>
        <item x="163"/>
        <item x="277"/>
        <item x="4"/>
        <item x="385"/>
        <item x="410"/>
        <item x="126"/>
        <item x="199"/>
        <item x="3"/>
        <item x="446"/>
        <item x="431"/>
        <item x="91"/>
        <item x="71"/>
        <item x="300"/>
        <item x="436"/>
        <item x="27"/>
        <item x="35"/>
        <item x="52"/>
        <item x="459"/>
        <item x="162"/>
        <item x="285"/>
        <item x="6"/>
        <item x="333"/>
        <item x="116"/>
        <item x="447"/>
        <item x="438"/>
        <item x="309"/>
        <item x="141"/>
        <item x="179"/>
        <item x="305"/>
        <item x="324"/>
        <item x="169"/>
        <item x="475"/>
        <item x="210"/>
        <item x="139"/>
        <item x="264"/>
        <item x="439"/>
        <item x="207"/>
        <item x="313"/>
        <item x="194"/>
        <item x="15"/>
        <item x="220"/>
        <item x="55"/>
        <item x="273"/>
        <item x="395"/>
        <item x="181"/>
        <item x="409"/>
        <item x="289"/>
        <item x="147"/>
        <item x="405"/>
        <item x="280"/>
        <item x="132"/>
        <item x="427"/>
        <item x="98"/>
        <item x="353"/>
        <item x="134"/>
        <item x="476"/>
        <item x="368"/>
        <item x="243"/>
        <item x="235"/>
        <item x="348"/>
        <item x="206"/>
        <item x="372"/>
        <item x="32"/>
        <item x="77"/>
        <item x="363"/>
        <item x="331"/>
        <item x="388"/>
        <item x="136"/>
        <item x="308"/>
        <item x="335"/>
        <item x="250"/>
        <item x="144"/>
        <item x="307"/>
        <item x="175"/>
        <item x="44"/>
        <item x="127"/>
        <item x="245"/>
        <item x="105"/>
        <item x="173"/>
        <item x="400"/>
        <item x="354"/>
        <item x="346"/>
        <item x="18"/>
        <item x="69"/>
        <item x="193"/>
        <item x="38"/>
        <item x="279"/>
        <item x="46"/>
        <item x="68"/>
        <item x="60"/>
        <item x="81"/>
        <item x="367"/>
        <item x="152"/>
        <item x="357"/>
        <item x="104"/>
        <item x="186"/>
        <item x="261"/>
        <item x="461"/>
        <item x="129"/>
        <item x="284"/>
        <item x="323"/>
        <item x="171"/>
        <item x="470"/>
        <item x="100"/>
        <item x="241"/>
        <item x="466"/>
        <item x="329"/>
        <item x="45"/>
        <item x="429"/>
        <item x="42"/>
        <item x="435"/>
        <item x="189"/>
        <item x="430"/>
        <item x="75"/>
        <item x="228"/>
        <item x="10"/>
        <item x="223"/>
        <item x="33"/>
        <item x="92"/>
        <item x="322"/>
        <item x="174"/>
        <item x="259"/>
        <item x="37"/>
        <item x="87"/>
        <item x="414"/>
        <item x="389"/>
        <item x="224"/>
        <item x="190"/>
        <item x="54"/>
        <item x="442"/>
        <item x="19"/>
        <item x="383"/>
        <item x="140"/>
        <item x="161"/>
        <item x="251"/>
        <item x="317"/>
        <item x="149"/>
        <item x="473"/>
        <item x="312"/>
        <item x="356"/>
        <item x="63"/>
        <item x="314"/>
        <item x="441"/>
        <item x="157"/>
        <item x="448"/>
        <item x="198"/>
        <item x="184"/>
        <item x="215"/>
        <item x="82"/>
        <item x="12"/>
        <item x="97"/>
        <item x="396"/>
        <item x="246"/>
        <item x="185"/>
        <item x="266"/>
        <item x="159"/>
        <item x="425"/>
        <item x="168"/>
        <item x="93"/>
        <item x="404"/>
        <item x="292"/>
        <item x="281"/>
        <item x="72"/>
        <item x="229"/>
        <item x="16"/>
        <item x="137"/>
        <item x="252"/>
        <item x="287"/>
        <item x="299"/>
        <item x="274"/>
        <item x="262"/>
        <item x="424"/>
        <item x="365"/>
        <item x="201"/>
        <item x="148"/>
        <item x="28"/>
        <item x="86"/>
        <item x="417"/>
        <item x="342"/>
        <item x="362"/>
        <item x="76"/>
        <item x="463"/>
        <item x="172"/>
        <item x="64"/>
        <item x="276"/>
        <item x="225"/>
        <item x="176"/>
        <item x="177"/>
        <item x="110"/>
        <item x="278"/>
        <item x="29"/>
        <item x="187"/>
        <item x="263"/>
        <item x="66"/>
        <item x="267"/>
        <item x="453"/>
        <item x="468"/>
        <item x="253"/>
        <item x="398"/>
        <item x="240"/>
        <item x="227"/>
        <item x="95"/>
        <item x="79"/>
        <item x="200"/>
        <item x="239"/>
        <item x="61"/>
        <item x="230"/>
        <item x="106"/>
        <item x="221"/>
        <item x="212"/>
        <item x="160"/>
        <item x="73"/>
        <item x="397"/>
        <item x="260"/>
        <item x="153"/>
        <item x="301"/>
        <item x="340"/>
        <item x="150"/>
        <item x="327"/>
        <item x="316"/>
        <item x="295"/>
        <item x="377"/>
        <item x="249"/>
        <item x="107"/>
        <item x="401"/>
        <item x="237"/>
        <item x="437"/>
        <item x="291"/>
        <item x="70"/>
        <item x="247"/>
        <item x="211"/>
        <item x="350"/>
        <item x="469"/>
        <item x="34"/>
        <item x="36"/>
        <item x="380"/>
        <item x="151"/>
        <item x="412"/>
        <item x="131"/>
        <item x="41"/>
        <item x="270"/>
        <item x="440"/>
        <item x="462"/>
        <item t="default"/>
      </items>
    </pivotField>
    <pivotField showAll="0"/>
    <pivotField showAll="0">
      <items count="15">
        <item x="0"/>
        <item x="1"/>
        <item x="2"/>
        <item x="3"/>
        <item x="4"/>
        <item x="5"/>
        <item x="6"/>
        <item x="7"/>
        <item x="8"/>
        <item x="9"/>
        <item x="10"/>
        <item x="11"/>
        <item x="12"/>
        <item x="13"/>
        <item t="default"/>
      </items>
    </pivotField>
  </pivotFields>
  <rowFields count="1">
    <field x="4"/>
  </rowFields>
  <rowItems count="8">
    <i>
      <x v="1"/>
    </i>
    <i>
      <x v="2"/>
    </i>
    <i>
      <x v="3"/>
    </i>
    <i>
      <x v="4"/>
    </i>
    <i>
      <x v="5"/>
    </i>
    <i>
      <x v="6"/>
    </i>
    <i>
      <x v="7"/>
    </i>
    <i t="grand">
      <x/>
    </i>
  </rowItems>
  <colItems count="1">
    <i/>
  </colItems>
  <dataFields count="1">
    <dataField name="Count of Patient_ID" fld="0" subtotal="count"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20" name="Visit_Date">
      <autoFilter ref="A1">
        <filterColumn colId="0">
          <customFilters and="1">
            <customFilter operator="greaterThanOrEqual" val="45292"/>
            <customFilter operator="lessThanOrEqual" val="4544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1F5695-BA0E-4195-A31A-339995715029}" name="PivotTable1" cacheId="8"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rowHeaderCaption="Hospital">
  <location ref="A3:B8" firstHeaderRow="1" firstDataRow="1" firstDataCol="1"/>
  <pivotFields count="10">
    <pivotField showAll="0"/>
    <pivotField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9">
        <item h="1" x="5"/>
        <item x="3"/>
        <item x="0"/>
        <item x="4"/>
        <item x="7"/>
        <item x="1"/>
        <item x="2"/>
        <item x="6"/>
        <item t="default"/>
      </items>
    </pivotField>
    <pivotField showAll="0"/>
    <pivotField axis="axisRow" showAll="0">
      <items count="5">
        <item x="2"/>
        <item x="1"/>
        <item x="3"/>
        <item x="0"/>
        <item t="default"/>
      </items>
    </pivotField>
    <pivotField dataField="1" showAll="0"/>
    <pivotField showAll="0">
      <items count="3">
        <item x="0"/>
        <item x="1"/>
        <item t="default"/>
      </items>
    </pivotField>
    <pivotField showAll="0">
      <items count="15">
        <item x="0"/>
        <item x="1"/>
        <item x="2"/>
        <item x="3"/>
        <item x="4"/>
        <item x="5"/>
        <item x="6"/>
        <item x="7"/>
        <item x="8"/>
        <item x="9"/>
        <item x="10"/>
        <item x="11"/>
        <item x="12"/>
        <item x="13"/>
        <item t="default"/>
      </items>
    </pivotField>
  </pivotFields>
  <rowFields count="1">
    <field x="6"/>
  </rowFields>
  <rowItems count="5">
    <i>
      <x/>
    </i>
    <i>
      <x v="1"/>
    </i>
    <i>
      <x v="2"/>
    </i>
    <i>
      <x v="3"/>
    </i>
    <i t="grand">
      <x/>
    </i>
  </rowItems>
  <colItems count="1">
    <i/>
  </colItems>
  <dataFields count="1">
    <dataField name="Average of Treatment_Cost" fld="7" subtotal="average" baseField="0" baseItem="0" numFmtId="168"/>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20" name="Visit_Date">
      <autoFilter ref="A1">
        <filterColumn colId="0">
          <customFilters and="1">
            <customFilter operator="greaterThanOrEqual" val="45292"/>
            <customFilter operator="lessThanOrEqual" val="4544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B2A4C1-926A-438C-AC1D-09B8F5ECE902}" name="PivotTable1" cacheId="8"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rowHeaderCaption="Months">
  <location ref="A3:B9" firstHeaderRow="1" firstDataRow="1" firstDataCol="1"/>
  <pivotFields count="10">
    <pivotField dataField="1" showAll="0">
      <items count="5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t="default"/>
      </items>
    </pivotField>
    <pivotField axis="axisRow"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9">
        <item h="1" x="5"/>
        <item x="3"/>
        <item x="0"/>
        <item x="4"/>
        <item x="7"/>
        <item x="1"/>
        <item x="2"/>
        <item x="6"/>
        <item t="default"/>
      </items>
    </pivotField>
    <pivotField showAll="0"/>
    <pivotField showAll="0">
      <items count="5">
        <item x="2"/>
        <item x="1"/>
        <item x="3"/>
        <item x="0"/>
        <item t="default"/>
      </items>
    </pivotField>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9"/>
    <field x="1"/>
  </rowFields>
  <rowItems count="6">
    <i>
      <x v="1"/>
    </i>
    <i>
      <x v="2"/>
    </i>
    <i>
      <x v="3"/>
    </i>
    <i>
      <x v="4"/>
    </i>
    <i>
      <x v="5"/>
    </i>
    <i t="grand">
      <x/>
    </i>
  </rowItems>
  <colItems count="1">
    <i/>
  </colItems>
  <dataFields count="1">
    <dataField name="Count of Patient_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20" name="Visit_Date">
      <autoFilter ref="A1">
        <filterColumn colId="0">
          <customFilters and="1">
            <customFilter operator="greaterThanOrEqual" val="45292"/>
            <customFilter operator="lessThanOrEqual" val="4544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AFB65F-9D46-45B8-AFF4-8DB63CADA3F4}" name="PivotTable1" cacheId="8"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rowHeaderCaption="Insurance">
  <location ref="A3:B6" firstHeaderRow="1" firstDataRow="1" firstDataCol="1"/>
  <pivotFields count="10">
    <pivotField showAll="0"/>
    <pivotField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9">
        <item h="1" x="5"/>
        <item x="3"/>
        <item x="0"/>
        <item x="4"/>
        <item x="7"/>
        <item x="1"/>
        <item x="2"/>
        <item x="6"/>
        <item t="default"/>
      </items>
    </pivotField>
    <pivotField showAll="0"/>
    <pivotField showAll="0">
      <items count="5">
        <item x="2"/>
        <item x="1"/>
        <item x="3"/>
        <item x="0"/>
        <item t="default"/>
      </items>
    </pivotField>
    <pivotField dataField="1" showAll="0"/>
    <pivotField axis="axisRow" showAll="0">
      <items count="3">
        <item x="0"/>
        <item x="1"/>
        <item t="default"/>
      </items>
    </pivotField>
    <pivotField showAll="0">
      <items count="15">
        <item x="0"/>
        <item x="1"/>
        <item x="2"/>
        <item x="3"/>
        <item x="4"/>
        <item x="5"/>
        <item x="6"/>
        <item x="7"/>
        <item x="8"/>
        <item x="9"/>
        <item x="10"/>
        <item x="11"/>
        <item x="12"/>
        <item x="13"/>
        <item t="default"/>
      </items>
    </pivotField>
  </pivotFields>
  <rowFields count="1">
    <field x="8"/>
  </rowFields>
  <rowItems count="3">
    <i>
      <x/>
    </i>
    <i>
      <x v="1"/>
    </i>
    <i t="grand">
      <x/>
    </i>
  </rowItems>
  <colItems count="1">
    <i/>
  </colItems>
  <dataFields count="1">
    <dataField name="Average of Treatment_Cost" fld="7" subtotal="average"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20" name="Visit_Date">
      <autoFilter ref="A1">
        <filterColumn colId="0">
          <customFilters and="1">
            <customFilter operator="greaterThanOrEqual" val="45292"/>
            <customFilter operator="lessThanOrEqual" val="4544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B7EB817-C520-4DB2-A9B4-154FF97335A4}" autoFormatId="16" applyNumberFormats="0" applyBorderFormats="0" applyFontFormats="0" applyPatternFormats="0" applyAlignmentFormats="0" applyWidthHeightFormats="0">
  <queryTableRefresh nextId="10">
    <queryTableFields count="9">
      <queryTableField id="1" name="Patient_ID" tableColumnId="1"/>
      <queryTableField id="2" name="Visit_Date" tableColumnId="2"/>
      <queryTableField id="3" name="Age" tableColumnId="3"/>
      <queryTableField id="4" name="Gender" tableColumnId="4"/>
      <queryTableField id="5" name="Disease" tableColumnId="5"/>
      <queryTableField id="6" name="Doctor" tableColumnId="6"/>
      <queryTableField id="7" name="Hospital" tableColumnId="7"/>
      <queryTableField id="8" name="Treatment_Cost" tableColumnId="8"/>
      <queryTableField id="9" name="Insurance"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ease" xr10:uid="{0BB10025-32A3-4A27-A583-2C5D2CB618F3}" sourceName="Disease">
  <pivotTables>
    <pivotTable tabId="3" name="PivotTable1"/>
    <pivotTable tabId="4" name="PivotTable1"/>
    <pivotTable tabId="5" name="PivotTable1"/>
    <pivotTable tabId="6" name="PivotTable1"/>
  </pivotTables>
  <data>
    <tabular pivotCacheId="856375741">
      <items count="8">
        <i x="5"/>
        <i x="3" s="1"/>
        <i x="0" s="1"/>
        <i x="4" s="1"/>
        <i x="7" s="1"/>
        <i x="1" s="1"/>
        <i x="2"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spital" xr10:uid="{247A15CB-BBC0-459A-8DAB-0854C5A2F2E2}" sourceName="Hospital">
  <pivotTables>
    <pivotTable tabId="3" name="PivotTable1"/>
    <pivotTable tabId="4" name="PivotTable1"/>
    <pivotTable tabId="5" name="PivotTable1"/>
    <pivotTable tabId="6" name="PivotTable1"/>
  </pivotTables>
  <data>
    <tabular pivotCacheId="856375741">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ease" xr10:uid="{70ACDA43-A6AC-4BF4-9FFC-23FC93F6DB3F}" cache="Slicer_Disease" caption="Disease" rowHeight="241300"/>
  <slicer name="Hospital" xr10:uid="{88D7D89D-C492-4DB1-A74D-EDB82582E888}" cache="Slicer_Hospital" caption="Hospital"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923E08-0421-41AD-A97F-47D219D05B87}" name="healthcare_data_520_rows" displayName="healthcare_data_520_rows" ref="A1:I521" tableType="queryTable" totalsRowShown="0">
  <autoFilter ref="A1:I521" xr:uid="{ED8D179A-18E9-4563-8599-2BDD71845CC6}"/>
  <tableColumns count="9">
    <tableColumn id="1" xr3:uid="{3DA67734-CAC3-4B5B-A655-BDFDF8234AF6}" uniqueName="1" name="Patient_ID" queryTableFieldId="1"/>
    <tableColumn id="2" xr3:uid="{F55C80BA-31ED-4C01-AAB5-1959A6EBC177}" uniqueName="2" name="Visit_Date" queryTableFieldId="2" dataDxfId="0"/>
    <tableColumn id="3" xr3:uid="{775E1948-82D0-419D-8674-D0892B6FE5EC}" uniqueName="3" name="Age" queryTableFieldId="3"/>
    <tableColumn id="4" xr3:uid="{2F959BDB-6B72-4984-8A34-57874865DF8D}" uniqueName="4" name="Gender" queryTableFieldId="4"/>
    <tableColumn id="5" xr3:uid="{4DCE8AF7-91E3-41D9-90B8-596B74F2BFFB}" uniqueName="5" name="Disease" queryTableFieldId="5"/>
    <tableColumn id="6" xr3:uid="{664766F0-7F27-460B-B591-DF7EA32B491C}" uniqueName="6" name="Doctor" queryTableFieldId="6"/>
    <tableColumn id="7" xr3:uid="{893C96C1-0D78-41FC-8222-46B9DB14574E}" uniqueName="7" name="Hospital" queryTableFieldId="7"/>
    <tableColumn id="8" xr3:uid="{E193CE4E-0E4C-4E9F-84A6-1CE6B6A5C3EA}" uniqueName="8" name="Treatment_Cost" queryTableFieldId="8"/>
    <tableColumn id="9" xr3:uid="{0CB2D5F3-751F-402A-B5B6-800741D6B292}" uniqueName="9" name="Insurance"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Visit_Date" xr10:uid="{8A64A093-545E-475F-8656-1016C73A9492}" sourceName="Visit_Date">
  <pivotTables>
    <pivotTable tabId="5" name="PivotTable1"/>
    <pivotTable tabId="4" name="PivotTable1"/>
    <pivotTable tabId="6" name="PivotTable1"/>
    <pivotTable tabId="3" name="PivotTable1"/>
  </pivotTables>
  <state minimalRefreshVersion="6" lastRefreshVersion="6" pivotCacheId="856375741" filterType="dateBetween">
    <selection startDate="2024-01-01T00:00:00" endDate="2024-05-31T00:00:00"/>
    <bounds startDate="2024-01-01T01: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Visit_Date" xr10:uid="{5B20CFFB-DE96-4262-B085-E1B0781442F2}" cache="NativeTimeline_Visit_Date" caption="Visit_Date" level="2" selectionLevel="2" scrollPosition="2024-01-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57FBF-D7E9-485A-8943-140631FD60D0}">
  <dimension ref="A1"/>
  <sheetViews>
    <sheetView showGridLines="0" showRowColHeaders="0" tabSelected="1" workbookViewId="0">
      <selection activeCell="A2" sqref="A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7E69E-53B7-4AEE-A572-A1DB7D6E2B61}">
  <dimension ref="A1:L521"/>
  <sheetViews>
    <sheetView topLeftCell="A2" workbookViewId="0"/>
  </sheetViews>
  <sheetFormatPr defaultRowHeight="15" x14ac:dyDescent="0.25"/>
  <cols>
    <col min="1" max="1" width="12.5703125" bestFit="1" customWidth="1"/>
    <col min="2" max="2" width="15.85546875" bestFit="1" customWidth="1"/>
    <col min="3" max="3" width="6.7109375" bestFit="1" customWidth="1"/>
    <col min="4" max="4" width="10" bestFit="1" customWidth="1"/>
    <col min="5" max="5" width="13.28515625" bestFit="1" customWidth="1"/>
    <col min="6" max="6" width="10.42578125" bestFit="1" customWidth="1"/>
    <col min="7" max="7" width="16.42578125" bestFit="1" customWidth="1"/>
    <col min="8" max="8" width="17.5703125" bestFit="1" customWidth="1"/>
    <col min="9" max="9" width="11.85546875" bestFit="1" customWidth="1"/>
    <col min="10" max="10" width="11.85546875" customWidth="1"/>
    <col min="11" max="11" width="12.85546875" customWidth="1"/>
  </cols>
  <sheetData>
    <row r="1" spans="1:12" x14ac:dyDescent="0.25">
      <c r="A1" t="s">
        <v>0</v>
      </c>
      <c r="B1" t="s">
        <v>1</v>
      </c>
      <c r="C1" t="s">
        <v>2</v>
      </c>
      <c r="D1" t="s">
        <v>3</v>
      </c>
      <c r="E1" t="s">
        <v>4</v>
      </c>
      <c r="F1" t="s">
        <v>5</v>
      </c>
      <c r="G1" t="s">
        <v>6</v>
      </c>
      <c r="H1" t="s">
        <v>7</v>
      </c>
      <c r="I1" t="s">
        <v>8</v>
      </c>
      <c r="J1" t="s">
        <v>552</v>
      </c>
      <c r="K1" t="s">
        <v>553</v>
      </c>
      <c r="L1" t="s">
        <v>554</v>
      </c>
    </row>
    <row r="2" spans="1:12" x14ac:dyDescent="0.25">
      <c r="A2" t="s">
        <v>9</v>
      </c>
      <c r="B2" s="1">
        <v>45292.041666666664</v>
      </c>
      <c r="C2">
        <v>38</v>
      </c>
      <c r="D2" t="s">
        <v>10</v>
      </c>
      <c r="E2" t="s">
        <v>11</v>
      </c>
      <c r="F2" t="s">
        <v>12</v>
      </c>
      <c r="G2" t="s">
        <v>13</v>
      </c>
      <c r="H2">
        <v>966</v>
      </c>
      <c r="I2" t="s">
        <v>14</v>
      </c>
      <c r="J2" t="str">
        <f>IF(C2&lt;18,"Child",IF(C2&lt;=40,"Adult",IF(C2&lt;=60,"Middle Age","Senior")))</f>
        <v>Adult</v>
      </c>
      <c r="K2" t="str">
        <f>TEXT(B2,"mmmm")</f>
        <v>January</v>
      </c>
      <c r="L2">
        <f>YEAR(B2)</f>
        <v>2024</v>
      </c>
    </row>
    <row r="3" spans="1:12" x14ac:dyDescent="0.25">
      <c r="A3" t="s">
        <v>15</v>
      </c>
      <c r="B3" s="1">
        <v>45292.703275520835</v>
      </c>
      <c r="C3">
        <v>13</v>
      </c>
      <c r="D3" t="s">
        <v>16</v>
      </c>
      <c r="E3" t="s">
        <v>17</v>
      </c>
      <c r="F3" t="s">
        <v>18</v>
      </c>
      <c r="G3" t="s">
        <v>19</v>
      </c>
      <c r="H3">
        <v>1260</v>
      </c>
      <c r="I3" t="s">
        <v>20</v>
      </c>
      <c r="J3" t="str">
        <f t="shared" ref="J3:J66" si="0">IF(C3&lt;18,"Child",IF(C3&lt;=40,"Adult",IF(C3&lt;=60,"Middle Age","Senior")))</f>
        <v>Child</v>
      </c>
      <c r="K3" t="str">
        <f t="shared" ref="K3:K66" si="1">TEXT(B3,"mmmm")</f>
        <v>January</v>
      </c>
      <c r="L3">
        <f t="shared" ref="L3:L66" si="2">YEAR(B3)</f>
        <v>2024</v>
      </c>
    </row>
    <row r="4" spans="1:12" x14ac:dyDescent="0.25">
      <c r="A4" t="s">
        <v>21</v>
      </c>
      <c r="B4" s="1">
        <v>45293.406551053238</v>
      </c>
      <c r="C4">
        <v>73</v>
      </c>
      <c r="D4" t="s">
        <v>10</v>
      </c>
      <c r="E4" t="s">
        <v>22</v>
      </c>
      <c r="F4" t="s">
        <v>23</v>
      </c>
      <c r="G4" t="s">
        <v>19</v>
      </c>
      <c r="H4">
        <v>1179</v>
      </c>
      <c r="I4" t="s">
        <v>14</v>
      </c>
      <c r="J4" t="str">
        <f t="shared" si="0"/>
        <v>Senior</v>
      </c>
      <c r="K4" t="str">
        <f t="shared" si="1"/>
        <v>January</v>
      </c>
      <c r="L4">
        <f t="shared" si="2"/>
        <v>2024</v>
      </c>
    </row>
    <row r="5" spans="1:12" x14ac:dyDescent="0.25">
      <c r="A5" t="s">
        <v>24</v>
      </c>
      <c r="B5" s="1">
        <v>45294.109826585649</v>
      </c>
      <c r="C5">
        <v>10</v>
      </c>
      <c r="D5" t="s">
        <v>16</v>
      </c>
      <c r="E5" t="s">
        <v>17</v>
      </c>
      <c r="F5" t="s">
        <v>25</v>
      </c>
      <c r="G5" t="s">
        <v>26</v>
      </c>
      <c r="H5">
        <v>1605</v>
      </c>
      <c r="I5" t="s">
        <v>14</v>
      </c>
      <c r="J5" t="str">
        <f t="shared" si="0"/>
        <v>Child</v>
      </c>
      <c r="K5" t="str">
        <f t="shared" si="1"/>
        <v>January</v>
      </c>
      <c r="L5">
        <f t="shared" si="2"/>
        <v>2024</v>
      </c>
    </row>
    <row r="6" spans="1:12" x14ac:dyDescent="0.25">
      <c r="A6" t="s">
        <v>27</v>
      </c>
      <c r="B6" s="1">
        <v>45294.813102118052</v>
      </c>
      <c r="C6">
        <v>76</v>
      </c>
      <c r="D6" t="s">
        <v>16</v>
      </c>
      <c r="E6" t="s">
        <v>28</v>
      </c>
      <c r="F6" t="s">
        <v>18</v>
      </c>
      <c r="G6" t="s">
        <v>19</v>
      </c>
      <c r="H6">
        <v>1559</v>
      </c>
      <c r="I6" t="s">
        <v>20</v>
      </c>
      <c r="J6" t="str">
        <f t="shared" si="0"/>
        <v>Senior</v>
      </c>
      <c r="K6" t="str">
        <f t="shared" si="1"/>
        <v>January</v>
      </c>
      <c r="L6">
        <f t="shared" si="2"/>
        <v>2024</v>
      </c>
    </row>
    <row r="7" spans="1:12" x14ac:dyDescent="0.25">
      <c r="A7" t="s">
        <v>29</v>
      </c>
      <c r="B7" s="1">
        <v>45295.516377638887</v>
      </c>
      <c r="C7">
        <v>6</v>
      </c>
      <c r="D7" t="s">
        <v>10</v>
      </c>
      <c r="E7" t="s">
        <v>30</v>
      </c>
      <c r="F7" t="s">
        <v>31</v>
      </c>
      <c r="G7" t="s">
        <v>19</v>
      </c>
      <c r="H7">
        <v>479</v>
      </c>
      <c r="I7" t="s">
        <v>14</v>
      </c>
      <c r="J7" t="str">
        <f t="shared" si="0"/>
        <v>Child</v>
      </c>
      <c r="K7" t="str">
        <f t="shared" si="1"/>
        <v>January</v>
      </c>
      <c r="L7">
        <f t="shared" si="2"/>
        <v>2024</v>
      </c>
    </row>
    <row r="8" spans="1:12" x14ac:dyDescent="0.25">
      <c r="A8" t="s">
        <v>32</v>
      </c>
      <c r="B8" s="1">
        <v>45296.219653171298</v>
      </c>
      <c r="C8">
        <v>80</v>
      </c>
      <c r="D8" t="s">
        <v>10</v>
      </c>
      <c r="E8" t="s">
        <v>33</v>
      </c>
      <c r="F8" t="s">
        <v>34</v>
      </c>
      <c r="G8" t="s">
        <v>19</v>
      </c>
      <c r="H8">
        <v>1661</v>
      </c>
      <c r="I8" t="s">
        <v>14</v>
      </c>
      <c r="J8" t="str">
        <f t="shared" si="0"/>
        <v>Senior</v>
      </c>
      <c r="K8" t="str">
        <f t="shared" si="1"/>
        <v>January</v>
      </c>
      <c r="L8">
        <f t="shared" si="2"/>
        <v>2024</v>
      </c>
    </row>
    <row r="9" spans="1:12" x14ac:dyDescent="0.25">
      <c r="A9" t="s">
        <v>35</v>
      </c>
      <c r="B9" s="1">
        <v>45296.922928703701</v>
      </c>
      <c r="C9">
        <v>65</v>
      </c>
      <c r="D9" t="s">
        <v>16</v>
      </c>
      <c r="E9" t="s">
        <v>36</v>
      </c>
      <c r="F9" t="s">
        <v>25</v>
      </c>
      <c r="G9" t="s">
        <v>19</v>
      </c>
      <c r="H9">
        <v>1367</v>
      </c>
      <c r="I9" t="s">
        <v>20</v>
      </c>
      <c r="J9" t="str">
        <f t="shared" si="0"/>
        <v>Senior</v>
      </c>
      <c r="K9" t="str">
        <f t="shared" si="1"/>
        <v>January</v>
      </c>
      <c r="L9">
        <f t="shared" si="2"/>
        <v>2024</v>
      </c>
    </row>
    <row r="10" spans="1:12" x14ac:dyDescent="0.25">
      <c r="A10" t="s">
        <v>37</v>
      </c>
      <c r="B10" s="1">
        <v>45297.626204236112</v>
      </c>
      <c r="C10">
        <v>17</v>
      </c>
      <c r="D10" t="s">
        <v>10</v>
      </c>
      <c r="E10" t="s">
        <v>33</v>
      </c>
      <c r="F10" t="s">
        <v>34</v>
      </c>
      <c r="G10" t="s">
        <v>13</v>
      </c>
      <c r="H10">
        <v>518</v>
      </c>
      <c r="I10" t="s">
        <v>20</v>
      </c>
      <c r="J10" t="str">
        <f t="shared" si="0"/>
        <v>Child</v>
      </c>
      <c r="K10" t="str">
        <f t="shared" si="1"/>
        <v>January</v>
      </c>
      <c r="L10">
        <f t="shared" si="2"/>
        <v>2024</v>
      </c>
    </row>
    <row r="11" spans="1:12" x14ac:dyDescent="0.25">
      <c r="A11" t="s">
        <v>38</v>
      </c>
      <c r="B11" s="1">
        <v>45298.329479768516</v>
      </c>
      <c r="C11">
        <v>2</v>
      </c>
      <c r="D11" t="s">
        <v>10</v>
      </c>
      <c r="E11" t="s">
        <v>11</v>
      </c>
      <c r="F11" t="s">
        <v>25</v>
      </c>
      <c r="G11" t="s">
        <v>13</v>
      </c>
      <c r="H11">
        <v>724</v>
      </c>
      <c r="I11" t="s">
        <v>20</v>
      </c>
      <c r="J11" t="str">
        <f t="shared" si="0"/>
        <v>Child</v>
      </c>
      <c r="K11" t="str">
        <f t="shared" si="1"/>
        <v>January</v>
      </c>
      <c r="L11">
        <f t="shared" si="2"/>
        <v>2024</v>
      </c>
    </row>
    <row r="12" spans="1:12" x14ac:dyDescent="0.25">
      <c r="A12" t="s">
        <v>39</v>
      </c>
      <c r="B12" s="1">
        <v>45299.03275528935</v>
      </c>
      <c r="C12">
        <v>77</v>
      </c>
      <c r="D12" t="s">
        <v>10</v>
      </c>
      <c r="E12" t="s">
        <v>17</v>
      </c>
      <c r="F12" t="s">
        <v>23</v>
      </c>
      <c r="G12" t="s">
        <v>40</v>
      </c>
      <c r="H12">
        <v>2225</v>
      </c>
      <c r="I12" t="s">
        <v>20</v>
      </c>
      <c r="J12" t="str">
        <f t="shared" si="0"/>
        <v>Senior</v>
      </c>
      <c r="K12" t="str">
        <f t="shared" si="1"/>
        <v>January</v>
      </c>
      <c r="L12">
        <f t="shared" si="2"/>
        <v>2024</v>
      </c>
    </row>
    <row r="13" spans="1:12" x14ac:dyDescent="0.25">
      <c r="A13" t="s">
        <v>41</v>
      </c>
      <c r="B13" s="1">
        <v>45299.736030821761</v>
      </c>
      <c r="C13">
        <v>72</v>
      </c>
      <c r="D13" t="s">
        <v>10</v>
      </c>
      <c r="E13" t="s">
        <v>33</v>
      </c>
      <c r="F13" t="s">
        <v>23</v>
      </c>
      <c r="G13" t="s">
        <v>19</v>
      </c>
      <c r="H13">
        <v>1203</v>
      </c>
      <c r="I13" t="s">
        <v>14</v>
      </c>
      <c r="J13" t="str">
        <f t="shared" si="0"/>
        <v>Senior</v>
      </c>
      <c r="K13" t="str">
        <f t="shared" si="1"/>
        <v>January</v>
      </c>
      <c r="L13">
        <f t="shared" si="2"/>
        <v>2024</v>
      </c>
    </row>
    <row r="14" spans="1:12" x14ac:dyDescent="0.25">
      <c r="A14" t="s">
        <v>42</v>
      </c>
      <c r="B14" s="1">
        <v>45300.439306354165</v>
      </c>
      <c r="C14">
        <v>7</v>
      </c>
      <c r="D14" t="s">
        <v>10</v>
      </c>
      <c r="E14" t="s">
        <v>22</v>
      </c>
      <c r="F14" t="s">
        <v>34</v>
      </c>
      <c r="G14" t="s">
        <v>26</v>
      </c>
      <c r="H14">
        <v>2394</v>
      </c>
      <c r="I14" t="s">
        <v>14</v>
      </c>
      <c r="J14" t="str">
        <f t="shared" si="0"/>
        <v>Child</v>
      </c>
      <c r="K14" t="str">
        <f t="shared" si="1"/>
        <v>January</v>
      </c>
      <c r="L14">
        <f t="shared" si="2"/>
        <v>2024</v>
      </c>
    </row>
    <row r="15" spans="1:12" x14ac:dyDescent="0.25">
      <c r="A15" t="s">
        <v>43</v>
      </c>
      <c r="B15" s="1">
        <v>45301.142581886575</v>
      </c>
      <c r="C15">
        <v>26</v>
      </c>
      <c r="D15" t="s">
        <v>10</v>
      </c>
      <c r="E15" t="s">
        <v>30</v>
      </c>
      <c r="F15" t="s">
        <v>25</v>
      </c>
      <c r="G15" t="s">
        <v>13</v>
      </c>
      <c r="H15">
        <v>1031</v>
      </c>
      <c r="I15" t="s">
        <v>14</v>
      </c>
      <c r="J15" t="str">
        <f t="shared" si="0"/>
        <v>Adult</v>
      </c>
      <c r="K15" t="str">
        <f t="shared" si="1"/>
        <v>January</v>
      </c>
      <c r="L15">
        <f t="shared" si="2"/>
        <v>2024</v>
      </c>
    </row>
    <row r="16" spans="1:12" x14ac:dyDescent="0.25">
      <c r="A16" t="s">
        <v>44</v>
      </c>
      <c r="B16" s="1">
        <v>45301.84585740741</v>
      </c>
      <c r="C16">
        <v>51</v>
      </c>
      <c r="D16" t="s">
        <v>16</v>
      </c>
      <c r="E16" t="s">
        <v>33</v>
      </c>
      <c r="F16" t="s">
        <v>18</v>
      </c>
      <c r="G16" t="s">
        <v>40</v>
      </c>
      <c r="H16">
        <v>1495</v>
      </c>
      <c r="I16" t="s">
        <v>14</v>
      </c>
      <c r="J16" t="str">
        <f t="shared" si="0"/>
        <v>Middle Age</v>
      </c>
      <c r="K16" t="str">
        <f t="shared" si="1"/>
        <v>January</v>
      </c>
      <c r="L16">
        <f t="shared" si="2"/>
        <v>2024</v>
      </c>
    </row>
    <row r="17" spans="1:12" x14ac:dyDescent="0.25">
      <c r="A17" t="s">
        <v>45</v>
      </c>
      <c r="B17" s="1">
        <v>45302.549132939814</v>
      </c>
      <c r="C17">
        <v>21</v>
      </c>
      <c r="D17" t="s">
        <v>16</v>
      </c>
      <c r="E17" t="s">
        <v>30</v>
      </c>
      <c r="F17" t="s">
        <v>12</v>
      </c>
      <c r="G17" t="s">
        <v>13</v>
      </c>
      <c r="H17">
        <v>1772</v>
      </c>
      <c r="I17" t="s">
        <v>14</v>
      </c>
      <c r="J17" t="str">
        <f t="shared" si="0"/>
        <v>Adult</v>
      </c>
      <c r="K17" t="str">
        <f t="shared" si="1"/>
        <v>January</v>
      </c>
      <c r="L17">
        <f t="shared" si="2"/>
        <v>2024</v>
      </c>
    </row>
    <row r="18" spans="1:12" x14ac:dyDescent="0.25">
      <c r="A18" t="s">
        <v>46</v>
      </c>
      <c r="B18" s="1">
        <v>45303.252408472224</v>
      </c>
      <c r="C18">
        <v>19</v>
      </c>
      <c r="D18" t="s">
        <v>16</v>
      </c>
      <c r="E18" t="s">
        <v>30</v>
      </c>
      <c r="F18" t="s">
        <v>23</v>
      </c>
      <c r="G18" t="s">
        <v>26</v>
      </c>
      <c r="H18">
        <v>2489</v>
      </c>
      <c r="I18" t="s">
        <v>14</v>
      </c>
      <c r="J18" t="str">
        <f t="shared" si="0"/>
        <v>Adult</v>
      </c>
      <c r="K18" t="str">
        <f t="shared" si="1"/>
        <v>January</v>
      </c>
      <c r="L18">
        <f t="shared" si="2"/>
        <v>2024</v>
      </c>
    </row>
    <row r="19" spans="1:12" x14ac:dyDescent="0.25">
      <c r="A19" t="s">
        <v>47</v>
      </c>
      <c r="B19" s="1">
        <v>45303.955684004628</v>
      </c>
      <c r="C19">
        <v>85</v>
      </c>
      <c r="D19" t="s">
        <v>10</v>
      </c>
      <c r="E19" t="s">
        <v>33</v>
      </c>
      <c r="F19" t="s">
        <v>23</v>
      </c>
      <c r="G19" t="s">
        <v>19</v>
      </c>
      <c r="H19">
        <v>202</v>
      </c>
      <c r="I19" t="s">
        <v>20</v>
      </c>
      <c r="J19" t="str">
        <f t="shared" si="0"/>
        <v>Senior</v>
      </c>
      <c r="K19" t="str">
        <f t="shared" si="1"/>
        <v>January</v>
      </c>
      <c r="L19">
        <f t="shared" si="2"/>
        <v>2024</v>
      </c>
    </row>
    <row r="20" spans="1:12" x14ac:dyDescent="0.25">
      <c r="A20" t="s">
        <v>48</v>
      </c>
      <c r="B20" s="1">
        <v>45304.658959537039</v>
      </c>
      <c r="C20">
        <v>12</v>
      </c>
      <c r="D20" t="s">
        <v>10</v>
      </c>
      <c r="E20" t="s">
        <v>22</v>
      </c>
      <c r="F20" t="s">
        <v>34</v>
      </c>
      <c r="G20" t="s">
        <v>26</v>
      </c>
      <c r="H20">
        <v>2076</v>
      </c>
      <c r="I20" t="s">
        <v>20</v>
      </c>
      <c r="J20" t="str">
        <f t="shared" si="0"/>
        <v>Child</v>
      </c>
      <c r="K20" t="str">
        <f t="shared" si="1"/>
        <v>January</v>
      </c>
      <c r="L20">
        <f t="shared" si="2"/>
        <v>2024</v>
      </c>
    </row>
    <row r="21" spans="1:12" x14ac:dyDescent="0.25">
      <c r="A21" t="s">
        <v>49</v>
      </c>
      <c r="B21" s="1">
        <v>45305.362235057873</v>
      </c>
      <c r="C21">
        <v>29</v>
      </c>
      <c r="D21" t="s">
        <v>16</v>
      </c>
      <c r="E21" t="s">
        <v>11</v>
      </c>
      <c r="F21" t="s">
        <v>50</v>
      </c>
      <c r="G21" t="s">
        <v>26</v>
      </c>
      <c r="H21">
        <v>2309</v>
      </c>
      <c r="I21" t="s">
        <v>14</v>
      </c>
      <c r="J21" t="str">
        <f t="shared" si="0"/>
        <v>Adult</v>
      </c>
      <c r="K21" t="str">
        <f t="shared" si="1"/>
        <v>January</v>
      </c>
      <c r="L21">
        <f t="shared" si="2"/>
        <v>2024</v>
      </c>
    </row>
    <row r="22" spans="1:12" x14ac:dyDescent="0.25">
      <c r="A22" t="s">
        <v>51</v>
      </c>
      <c r="B22" s="1">
        <v>45306.065510590277</v>
      </c>
      <c r="C22">
        <v>30</v>
      </c>
      <c r="D22" t="s">
        <v>10</v>
      </c>
      <c r="E22" t="s">
        <v>52</v>
      </c>
      <c r="F22" t="s">
        <v>25</v>
      </c>
      <c r="G22" t="s">
        <v>13</v>
      </c>
      <c r="H22">
        <v>1499</v>
      </c>
      <c r="I22" t="s">
        <v>14</v>
      </c>
      <c r="J22" t="str">
        <f t="shared" si="0"/>
        <v>Adult</v>
      </c>
      <c r="K22" t="str">
        <f t="shared" si="1"/>
        <v>January</v>
      </c>
      <c r="L22">
        <f t="shared" si="2"/>
        <v>2024</v>
      </c>
    </row>
    <row r="23" spans="1:12" x14ac:dyDescent="0.25">
      <c r="A23" t="s">
        <v>53</v>
      </c>
      <c r="B23" s="1">
        <v>45306.768786122688</v>
      </c>
      <c r="C23">
        <v>15</v>
      </c>
      <c r="D23" t="s">
        <v>16</v>
      </c>
      <c r="E23" t="s">
        <v>30</v>
      </c>
      <c r="F23" t="s">
        <v>50</v>
      </c>
      <c r="G23" t="s">
        <v>40</v>
      </c>
      <c r="H23">
        <v>400</v>
      </c>
      <c r="I23" t="s">
        <v>14</v>
      </c>
      <c r="J23" t="str">
        <f t="shared" si="0"/>
        <v>Child</v>
      </c>
      <c r="K23" t="str">
        <f t="shared" si="1"/>
        <v>January</v>
      </c>
      <c r="L23">
        <f t="shared" si="2"/>
        <v>2024</v>
      </c>
    </row>
    <row r="24" spans="1:12" x14ac:dyDescent="0.25">
      <c r="A24" t="s">
        <v>54</v>
      </c>
      <c r="B24" s="1">
        <v>45307.472061655091</v>
      </c>
      <c r="C24">
        <v>51</v>
      </c>
      <c r="D24" t="s">
        <v>10</v>
      </c>
      <c r="E24" t="s">
        <v>22</v>
      </c>
      <c r="F24" t="s">
        <v>50</v>
      </c>
      <c r="G24" t="s">
        <v>40</v>
      </c>
      <c r="H24">
        <v>333</v>
      </c>
      <c r="I24" t="s">
        <v>14</v>
      </c>
      <c r="J24" t="str">
        <f t="shared" si="0"/>
        <v>Middle Age</v>
      </c>
      <c r="K24" t="str">
        <f t="shared" si="1"/>
        <v>January</v>
      </c>
      <c r="L24">
        <f t="shared" si="2"/>
        <v>2024</v>
      </c>
    </row>
    <row r="25" spans="1:12" x14ac:dyDescent="0.25">
      <c r="A25" t="s">
        <v>55</v>
      </c>
      <c r="B25" s="1">
        <v>45308.175337175926</v>
      </c>
      <c r="C25">
        <v>69</v>
      </c>
      <c r="D25" t="s">
        <v>10</v>
      </c>
      <c r="E25" t="s">
        <v>28</v>
      </c>
      <c r="F25" t="s">
        <v>31</v>
      </c>
      <c r="G25" t="s">
        <v>19</v>
      </c>
      <c r="H25">
        <v>1490</v>
      </c>
      <c r="I25" t="s">
        <v>20</v>
      </c>
      <c r="J25" t="str">
        <f t="shared" si="0"/>
        <v>Senior</v>
      </c>
      <c r="K25" t="str">
        <f t="shared" si="1"/>
        <v>January</v>
      </c>
      <c r="L25">
        <f t="shared" si="2"/>
        <v>2024</v>
      </c>
    </row>
    <row r="26" spans="1:12" x14ac:dyDescent="0.25">
      <c r="A26" t="s">
        <v>56</v>
      </c>
      <c r="B26" s="1">
        <v>45308.878612708337</v>
      </c>
      <c r="C26">
        <v>88</v>
      </c>
      <c r="D26" t="s">
        <v>16</v>
      </c>
      <c r="E26" t="s">
        <v>17</v>
      </c>
      <c r="F26" t="s">
        <v>31</v>
      </c>
      <c r="G26" t="s">
        <v>13</v>
      </c>
      <c r="H26">
        <v>704</v>
      </c>
      <c r="I26" t="s">
        <v>20</v>
      </c>
      <c r="J26" t="str">
        <f t="shared" si="0"/>
        <v>Senior</v>
      </c>
      <c r="K26" t="str">
        <f t="shared" si="1"/>
        <v>January</v>
      </c>
      <c r="L26">
        <f t="shared" si="2"/>
        <v>2024</v>
      </c>
    </row>
    <row r="27" spans="1:12" x14ac:dyDescent="0.25">
      <c r="A27" t="s">
        <v>57</v>
      </c>
      <c r="B27" s="1">
        <v>45309.58188824074</v>
      </c>
      <c r="C27">
        <v>88</v>
      </c>
      <c r="D27" t="s">
        <v>16</v>
      </c>
      <c r="E27" t="s">
        <v>28</v>
      </c>
      <c r="F27" t="s">
        <v>18</v>
      </c>
      <c r="G27" t="s">
        <v>13</v>
      </c>
      <c r="H27">
        <v>1471</v>
      </c>
      <c r="I27" t="s">
        <v>14</v>
      </c>
      <c r="J27" t="str">
        <f t="shared" si="0"/>
        <v>Senior</v>
      </c>
      <c r="K27" t="str">
        <f t="shared" si="1"/>
        <v>January</v>
      </c>
      <c r="L27">
        <f t="shared" si="2"/>
        <v>2024</v>
      </c>
    </row>
    <row r="28" spans="1:12" x14ac:dyDescent="0.25">
      <c r="A28" t="s">
        <v>58</v>
      </c>
      <c r="B28" s="1">
        <v>45310.285163773151</v>
      </c>
      <c r="C28">
        <v>87</v>
      </c>
      <c r="D28" t="s">
        <v>16</v>
      </c>
      <c r="E28" t="s">
        <v>22</v>
      </c>
      <c r="F28" t="s">
        <v>23</v>
      </c>
      <c r="G28" t="s">
        <v>19</v>
      </c>
      <c r="H28">
        <v>384</v>
      </c>
      <c r="I28" t="s">
        <v>14</v>
      </c>
      <c r="J28" t="str">
        <f t="shared" si="0"/>
        <v>Senior</v>
      </c>
      <c r="K28" t="str">
        <f t="shared" si="1"/>
        <v>January</v>
      </c>
      <c r="L28">
        <f t="shared" si="2"/>
        <v>2024</v>
      </c>
    </row>
    <row r="29" spans="1:12" x14ac:dyDescent="0.25">
      <c r="A29" t="s">
        <v>59</v>
      </c>
      <c r="B29" s="1">
        <v>45310.988439305554</v>
      </c>
      <c r="C29">
        <v>14</v>
      </c>
      <c r="D29" t="s">
        <v>10</v>
      </c>
      <c r="E29" t="s">
        <v>30</v>
      </c>
      <c r="F29" t="s">
        <v>31</v>
      </c>
      <c r="G29" t="s">
        <v>26</v>
      </c>
      <c r="H29">
        <v>1642</v>
      </c>
      <c r="I29" t="s">
        <v>20</v>
      </c>
      <c r="J29" t="str">
        <f t="shared" si="0"/>
        <v>Child</v>
      </c>
      <c r="K29" t="str">
        <f t="shared" si="1"/>
        <v>January</v>
      </c>
      <c r="L29">
        <f t="shared" si="2"/>
        <v>2024</v>
      </c>
    </row>
    <row r="30" spans="1:12" x14ac:dyDescent="0.25">
      <c r="A30" t="s">
        <v>60</v>
      </c>
      <c r="B30" s="1">
        <v>45311.691714826389</v>
      </c>
      <c r="C30">
        <v>10</v>
      </c>
      <c r="D30" t="s">
        <v>16</v>
      </c>
      <c r="E30" t="s">
        <v>52</v>
      </c>
      <c r="F30" t="s">
        <v>31</v>
      </c>
      <c r="G30" t="s">
        <v>26</v>
      </c>
      <c r="H30">
        <v>2575</v>
      </c>
      <c r="I30" t="s">
        <v>14</v>
      </c>
      <c r="J30" t="str">
        <f t="shared" si="0"/>
        <v>Child</v>
      </c>
      <c r="K30" t="str">
        <f t="shared" si="1"/>
        <v>January</v>
      </c>
      <c r="L30">
        <f t="shared" si="2"/>
        <v>2024</v>
      </c>
    </row>
    <row r="31" spans="1:12" x14ac:dyDescent="0.25">
      <c r="A31" t="s">
        <v>61</v>
      </c>
      <c r="B31" s="1">
        <v>45312.394990358793</v>
      </c>
      <c r="C31">
        <v>8</v>
      </c>
      <c r="D31" t="s">
        <v>10</v>
      </c>
      <c r="E31" t="s">
        <v>17</v>
      </c>
      <c r="F31" t="s">
        <v>23</v>
      </c>
      <c r="G31" t="s">
        <v>13</v>
      </c>
      <c r="H31">
        <v>2641</v>
      </c>
      <c r="I31" t="s">
        <v>14</v>
      </c>
      <c r="J31" t="str">
        <f t="shared" si="0"/>
        <v>Child</v>
      </c>
      <c r="K31" t="str">
        <f t="shared" si="1"/>
        <v>January</v>
      </c>
      <c r="L31">
        <f t="shared" si="2"/>
        <v>2024</v>
      </c>
    </row>
    <row r="32" spans="1:12" x14ac:dyDescent="0.25">
      <c r="A32" t="s">
        <v>62</v>
      </c>
      <c r="B32" s="1">
        <v>45313.098265891203</v>
      </c>
      <c r="C32">
        <v>64</v>
      </c>
      <c r="D32" t="s">
        <v>10</v>
      </c>
      <c r="E32" t="s">
        <v>30</v>
      </c>
      <c r="F32" t="s">
        <v>12</v>
      </c>
      <c r="G32" t="s">
        <v>40</v>
      </c>
      <c r="H32">
        <v>1230</v>
      </c>
      <c r="I32" t="s">
        <v>14</v>
      </c>
      <c r="J32" t="str">
        <f t="shared" si="0"/>
        <v>Senior</v>
      </c>
      <c r="K32" t="str">
        <f t="shared" si="1"/>
        <v>January</v>
      </c>
      <c r="L32">
        <f t="shared" si="2"/>
        <v>2024</v>
      </c>
    </row>
    <row r="33" spans="1:12" x14ac:dyDescent="0.25">
      <c r="A33" t="s">
        <v>63</v>
      </c>
      <c r="B33" s="1">
        <v>45313.801541423614</v>
      </c>
      <c r="C33">
        <v>62</v>
      </c>
      <c r="D33" t="s">
        <v>10</v>
      </c>
      <c r="E33" t="s">
        <v>33</v>
      </c>
      <c r="F33" t="s">
        <v>50</v>
      </c>
      <c r="G33" t="s">
        <v>13</v>
      </c>
      <c r="H33">
        <v>814</v>
      </c>
      <c r="I33" t="s">
        <v>14</v>
      </c>
      <c r="J33" t="str">
        <f t="shared" si="0"/>
        <v>Senior</v>
      </c>
      <c r="K33" t="str">
        <f t="shared" si="1"/>
        <v>January</v>
      </c>
      <c r="L33">
        <f t="shared" si="2"/>
        <v>2024</v>
      </c>
    </row>
    <row r="34" spans="1:12" x14ac:dyDescent="0.25">
      <c r="A34" t="s">
        <v>64</v>
      </c>
      <c r="B34" s="1">
        <v>45314.504816944442</v>
      </c>
      <c r="C34">
        <v>23</v>
      </c>
      <c r="D34" t="s">
        <v>16</v>
      </c>
      <c r="E34" t="s">
        <v>17</v>
      </c>
      <c r="F34" t="s">
        <v>12</v>
      </c>
      <c r="G34" t="s">
        <v>13</v>
      </c>
      <c r="H34">
        <v>1918</v>
      </c>
      <c r="I34" t="s">
        <v>20</v>
      </c>
      <c r="J34" t="str">
        <f t="shared" si="0"/>
        <v>Adult</v>
      </c>
      <c r="K34" t="str">
        <f t="shared" si="1"/>
        <v>January</v>
      </c>
      <c r="L34">
        <f t="shared" si="2"/>
        <v>2024</v>
      </c>
    </row>
    <row r="35" spans="1:12" x14ac:dyDescent="0.25">
      <c r="A35" t="s">
        <v>65</v>
      </c>
      <c r="B35" s="1">
        <v>45315.208092476852</v>
      </c>
      <c r="C35">
        <v>58</v>
      </c>
      <c r="D35" t="s">
        <v>16</v>
      </c>
      <c r="E35" t="s">
        <v>33</v>
      </c>
      <c r="F35" t="s">
        <v>12</v>
      </c>
      <c r="G35" t="s">
        <v>26</v>
      </c>
      <c r="H35">
        <v>2228</v>
      </c>
      <c r="I35" t="s">
        <v>14</v>
      </c>
      <c r="J35" t="str">
        <f t="shared" si="0"/>
        <v>Middle Age</v>
      </c>
      <c r="K35" t="str">
        <f t="shared" si="1"/>
        <v>January</v>
      </c>
      <c r="L35">
        <f t="shared" si="2"/>
        <v>2024</v>
      </c>
    </row>
    <row r="36" spans="1:12" x14ac:dyDescent="0.25">
      <c r="A36" t="s">
        <v>66</v>
      </c>
      <c r="B36" s="1">
        <v>45315.911368009256</v>
      </c>
      <c r="C36">
        <v>2</v>
      </c>
      <c r="D36" t="s">
        <v>16</v>
      </c>
      <c r="E36" t="s">
        <v>22</v>
      </c>
      <c r="F36" t="s">
        <v>50</v>
      </c>
      <c r="G36" t="s">
        <v>13</v>
      </c>
      <c r="H36">
        <v>2926</v>
      </c>
      <c r="I36" t="s">
        <v>14</v>
      </c>
      <c r="J36" t="str">
        <f t="shared" si="0"/>
        <v>Child</v>
      </c>
      <c r="K36" t="str">
        <f t="shared" si="1"/>
        <v>January</v>
      </c>
      <c r="L36">
        <f t="shared" si="2"/>
        <v>2024</v>
      </c>
    </row>
    <row r="37" spans="1:12" x14ac:dyDescent="0.25">
      <c r="A37" t="s">
        <v>67</v>
      </c>
      <c r="B37" s="1">
        <v>45316.614643541667</v>
      </c>
      <c r="C37">
        <v>1</v>
      </c>
      <c r="D37" t="s">
        <v>16</v>
      </c>
      <c r="E37" t="s">
        <v>22</v>
      </c>
      <c r="F37" t="s">
        <v>31</v>
      </c>
      <c r="G37" t="s">
        <v>19</v>
      </c>
      <c r="H37">
        <v>1645</v>
      </c>
      <c r="I37" t="s">
        <v>14</v>
      </c>
      <c r="J37" t="str">
        <f t="shared" si="0"/>
        <v>Child</v>
      </c>
      <c r="K37" t="str">
        <f t="shared" si="1"/>
        <v>January</v>
      </c>
      <c r="L37">
        <f t="shared" si="2"/>
        <v>2024</v>
      </c>
    </row>
    <row r="38" spans="1:12" x14ac:dyDescent="0.25">
      <c r="A38" t="s">
        <v>68</v>
      </c>
      <c r="B38" s="1">
        <v>45317.317919074078</v>
      </c>
      <c r="C38">
        <v>61</v>
      </c>
      <c r="D38" t="s">
        <v>10</v>
      </c>
      <c r="E38" t="s">
        <v>52</v>
      </c>
      <c r="F38" t="s">
        <v>50</v>
      </c>
      <c r="G38" t="s">
        <v>40</v>
      </c>
      <c r="H38">
        <v>2938</v>
      </c>
      <c r="I38" t="s">
        <v>20</v>
      </c>
      <c r="J38" t="str">
        <f t="shared" si="0"/>
        <v>Senior</v>
      </c>
      <c r="K38" t="str">
        <f t="shared" si="1"/>
        <v>January</v>
      </c>
      <c r="L38">
        <f t="shared" si="2"/>
        <v>2024</v>
      </c>
    </row>
    <row r="39" spans="1:12" x14ac:dyDescent="0.25">
      <c r="A39" t="s">
        <v>69</v>
      </c>
      <c r="B39" s="1">
        <v>45318.021194594905</v>
      </c>
      <c r="C39">
        <v>82</v>
      </c>
      <c r="D39" t="s">
        <v>16</v>
      </c>
      <c r="E39" t="s">
        <v>36</v>
      </c>
      <c r="F39" t="s">
        <v>50</v>
      </c>
      <c r="G39" t="s">
        <v>26</v>
      </c>
      <c r="H39">
        <v>2241</v>
      </c>
      <c r="I39" t="s">
        <v>20</v>
      </c>
      <c r="J39" t="str">
        <f t="shared" si="0"/>
        <v>Senior</v>
      </c>
      <c r="K39" t="str">
        <f t="shared" si="1"/>
        <v>January</v>
      </c>
      <c r="L39">
        <f t="shared" si="2"/>
        <v>2024</v>
      </c>
    </row>
    <row r="40" spans="1:12" x14ac:dyDescent="0.25">
      <c r="A40" t="s">
        <v>70</v>
      </c>
      <c r="B40" s="1">
        <v>45318.724470127316</v>
      </c>
      <c r="C40">
        <v>9</v>
      </c>
      <c r="D40" t="s">
        <v>10</v>
      </c>
      <c r="E40" t="s">
        <v>28</v>
      </c>
      <c r="F40" t="s">
        <v>50</v>
      </c>
      <c r="G40" t="s">
        <v>26</v>
      </c>
      <c r="H40">
        <v>2083</v>
      </c>
      <c r="I40" t="s">
        <v>14</v>
      </c>
      <c r="J40" t="str">
        <f t="shared" si="0"/>
        <v>Child</v>
      </c>
      <c r="K40" t="str">
        <f t="shared" si="1"/>
        <v>January</v>
      </c>
      <c r="L40">
        <f t="shared" si="2"/>
        <v>2024</v>
      </c>
    </row>
    <row r="41" spans="1:12" x14ac:dyDescent="0.25">
      <c r="A41" t="s">
        <v>71</v>
      </c>
      <c r="B41" s="1">
        <v>45319.427745659719</v>
      </c>
      <c r="C41">
        <v>89</v>
      </c>
      <c r="D41" t="s">
        <v>16</v>
      </c>
      <c r="E41" t="s">
        <v>30</v>
      </c>
      <c r="F41" t="s">
        <v>50</v>
      </c>
      <c r="G41" t="s">
        <v>26</v>
      </c>
      <c r="H41">
        <v>772</v>
      </c>
      <c r="I41" t="s">
        <v>20</v>
      </c>
      <c r="J41" t="str">
        <f t="shared" si="0"/>
        <v>Senior</v>
      </c>
      <c r="K41" t="str">
        <f t="shared" si="1"/>
        <v>January</v>
      </c>
      <c r="L41">
        <f t="shared" si="2"/>
        <v>2024</v>
      </c>
    </row>
    <row r="42" spans="1:12" x14ac:dyDescent="0.25">
      <c r="A42" t="s">
        <v>72</v>
      </c>
      <c r="B42" s="1">
        <v>45320.13102119213</v>
      </c>
      <c r="C42">
        <v>14</v>
      </c>
      <c r="D42" t="s">
        <v>10</v>
      </c>
      <c r="E42" t="s">
        <v>17</v>
      </c>
      <c r="F42" t="s">
        <v>50</v>
      </c>
      <c r="G42" t="s">
        <v>26</v>
      </c>
      <c r="H42">
        <v>1262</v>
      </c>
      <c r="I42" t="s">
        <v>20</v>
      </c>
      <c r="J42" t="str">
        <f t="shared" si="0"/>
        <v>Child</v>
      </c>
      <c r="K42" t="str">
        <f t="shared" si="1"/>
        <v>January</v>
      </c>
      <c r="L42">
        <f t="shared" si="2"/>
        <v>2024</v>
      </c>
    </row>
    <row r="43" spans="1:12" x14ac:dyDescent="0.25">
      <c r="A43" t="s">
        <v>73</v>
      </c>
      <c r="B43" s="1">
        <v>45320.834296712965</v>
      </c>
      <c r="C43">
        <v>48</v>
      </c>
      <c r="D43" t="s">
        <v>10</v>
      </c>
      <c r="E43" t="s">
        <v>22</v>
      </c>
      <c r="F43" t="s">
        <v>34</v>
      </c>
      <c r="G43" t="s">
        <v>40</v>
      </c>
      <c r="H43">
        <v>2986</v>
      </c>
      <c r="I43" t="s">
        <v>20</v>
      </c>
      <c r="J43" t="str">
        <f t="shared" si="0"/>
        <v>Middle Age</v>
      </c>
      <c r="K43" t="str">
        <f t="shared" si="1"/>
        <v>January</v>
      </c>
      <c r="L43">
        <f t="shared" si="2"/>
        <v>2024</v>
      </c>
    </row>
    <row r="44" spans="1:12" x14ac:dyDescent="0.25">
      <c r="A44" t="s">
        <v>74</v>
      </c>
      <c r="B44" s="1">
        <v>45321.537572245368</v>
      </c>
      <c r="C44">
        <v>73</v>
      </c>
      <c r="D44" t="s">
        <v>10</v>
      </c>
      <c r="E44" t="s">
        <v>36</v>
      </c>
      <c r="F44" t="s">
        <v>12</v>
      </c>
      <c r="G44" t="s">
        <v>40</v>
      </c>
      <c r="H44">
        <v>2198</v>
      </c>
      <c r="I44" t="s">
        <v>20</v>
      </c>
      <c r="J44" t="str">
        <f t="shared" si="0"/>
        <v>Senior</v>
      </c>
      <c r="K44" t="str">
        <f t="shared" si="1"/>
        <v>January</v>
      </c>
      <c r="L44">
        <f t="shared" si="2"/>
        <v>2024</v>
      </c>
    </row>
    <row r="45" spans="1:12" x14ac:dyDescent="0.25">
      <c r="A45" t="s">
        <v>75</v>
      </c>
      <c r="B45" s="1">
        <v>45322.240847777779</v>
      </c>
      <c r="C45">
        <v>31</v>
      </c>
      <c r="D45" t="s">
        <v>10</v>
      </c>
      <c r="E45" t="s">
        <v>11</v>
      </c>
      <c r="F45" t="s">
        <v>12</v>
      </c>
      <c r="G45" t="s">
        <v>26</v>
      </c>
      <c r="H45">
        <v>878</v>
      </c>
      <c r="I45" t="s">
        <v>20</v>
      </c>
      <c r="J45" t="str">
        <f t="shared" si="0"/>
        <v>Adult</v>
      </c>
      <c r="K45" t="str">
        <f t="shared" si="1"/>
        <v>January</v>
      </c>
      <c r="L45">
        <f t="shared" si="2"/>
        <v>2024</v>
      </c>
    </row>
    <row r="46" spans="1:12" x14ac:dyDescent="0.25">
      <c r="A46" t="s">
        <v>76</v>
      </c>
      <c r="B46" s="1">
        <v>45322.944123310182</v>
      </c>
      <c r="C46">
        <v>72</v>
      </c>
      <c r="D46" t="s">
        <v>16</v>
      </c>
      <c r="E46" t="s">
        <v>52</v>
      </c>
      <c r="F46" t="s">
        <v>50</v>
      </c>
      <c r="G46" t="s">
        <v>13</v>
      </c>
      <c r="H46">
        <v>2018</v>
      </c>
      <c r="I46" t="s">
        <v>14</v>
      </c>
      <c r="J46" t="str">
        <f t="shared" si="0"/>
        <v>Senior</v>
      </c>
      <c r="K46" t="str">
        <f t="shared" si="1"/>
        <v>January</v>
      </c>
      <c r="L46">
        <f t="shared" si="2"/>
        <v>2024</v>
      </c>
    </row>
    <row r="47" spans="1:12" x14ac:dyDescent="0.25">
      <c r="A47" t="s">
        <v>77</v>
      </c>
      <c r="B47" s="1">
        <v>45323.647398842593</v>
      </c>
      <c r="C47">
        <v>4</v>
      </c>
      <c r="D47" t="s">
        <v>10</v>
      </c>
      <c r="E47" t="s">
        <v>22</v>
      </c>
      <c r="F47" t="s">
        <v>50</v>
      </c>
      <c r="G47" t="s">
        <v>19</v>
      </c>
      <c r="H47">
        <v>2180</v>
      </c>
      <c r="I47" t="s">
        <v>14</v>
      </c>
      <c r="J47" t="str">
        <f t="shared" si="0"/>
        <v>Child</v>
      </c>
      <c r="K47" t="str">
        <f t="shared" si="1"/>
        <v>February</v>
      </c>
      <c r="L47">
        <f t="shared" si="2"/>
        <v>2024</v>
      </c>
    </row>
    <row r="48" spans="1:12" x14ac:dyDescent="0.25">
      <c r="A48" t="s">
        <v>78</v>
      </c>
      <c r="B48" s="1">
        <v>45324.350674363428</v>
      </c>
      <c r="C48">
        <v>71</v>
      </c>
      <c r="D48" t="s">
        <v>10</v>
      </c>
      <c r="E48" t="s">
        <v>33</v>
      </c>
      <c r="F48" t="s">
        <v>23</v>
      </c>
      <c r="G48" t="s">
        <v>26</v>
      </c>
      <c r="H48">
        <v>2106</v>
      </c>
      <c r="I48" t="s">
        <v>14</v>
      </c>
      <c r="J48" t="str">
        <f t="shared" si="0"/>
        <v>Senior</v>
      </c>
      <c r="K48" t="str">
        <f t="shared" si="1"/>
        <v>February</v>
      </c>
      <c r="L48">
        <f t="shared" si="2"/>
        <v>2024</v>
      </c>
    </row>
    <row r="49" spans="1:12" x14ac:dyDescent="0.25">
      <c r="A49" t="s">
        <v>79</v>
      </c>
      <c r="B49" s="1">
        <v>45325.053949895831</v>
      </c>
      <c r="C49">
        <v>22</v>
      </c>
      <c r="D49" t="s">
        <v>10</v>
      </c>
      <c r="E49" t="s">
        <v>28</v>
      </c>
      <c r="F49" t="s">
        <v>34</v>
      </c>
      <c r="G49" t="s">
        <v>19</v>
      </c>
      <c r="H49">
        <v>502</v>
      </c>
      <c r="I49" t="s">
        <v>20</v>
      </c>
      <c r="J49" t="str">
        <f t="shared" si="0"/>
        <v>Adult</v>
      </c>
      <c r="K49" t="str">
        <f t="shared" si="1"/>
        <v>February</v>
      </c>
      <c r="L49">
        <f t="shared" si="2"/>
        <v>2024</v>
      </c>
    </row>
    <row r="50" spans="1:12" x14ac:dyDescent="0.25">
      <c r="A50" t="s">
        <v>80</v>
      </c>
      <c r="B50" s="1">
        <v>45325.757225428242</v>
      </c>
      <c r="C50">
        <v>50</v>
      </c>
      <c r="D50" t="s">
        <v>16</v>
      </c>
      <c r="E50" t="s">
        <v>11</v>
      </c>
      <c r="F50" t="s">
        <v>18</v>
      </c>
      <c r="G50" t="s">
        <v>19</v>
      </c>
      <c r="H50">
        <v>1307</v>
      </c>
      <c r="I50" t="s">
        <v>14</v>
      </c>
      <c r="J50" t="str">
        <f t="shared" si="0"/>
        <v>Middle Age</v>
      </c>
      <c r="K50" t="str">
        <f t="shared" si="1"/>
        <v>February</v>
      </c>
      <c r="L50">
        <f t="shared" si="2"/>
        <v>2024</v>
      </c>
    </row>
    <row r="51" spans="1:12" x14ac:dyDescent="0.25">
      <c r="A51" t="s">
        <v>81</v>
      </c>
      <c r="B51" s="1">
        <v>45326.460500960646</v>
      </c>
      <c r="C51">
        <v>58</v>
      </c>
      <c r="D51" t="s">
        <v>16</v>
      </c>
      <c r="E51" t="s">
        <v>52</v>
      </c>
      <c r="F51" t="s">
        <v>18</v>
      </c>
      <c r="G51" t="s">
        <v>19</v>
      </c>
      <c r="H51">
        <v>1521</v>
      </c>
      <c r="I51" t="s">
        <v>14</v>
      </c>
      <c r="J51" t="str">
        <f t="shared" si="0"/>
        <v>Middle Age</v>
      </c>
      <c r="K51" t="str">
        <f t="shared" si="1"/>
        <v>February</v>
      </c>
      <c r="L51">
        <f t="shared" si="2"/>
        <v>2024</v>
      </c>
    </row>
    <row r="52" spans="1:12" x14ac:dyDescent="0.25">
      <c r="A52" t="s">
        <v>82</v>
      </c>
      <c r="B52" s="1">
        <v>45327.163776493057</v>
      </c>
      <c r="C52">
        <v>4</v>
      </c>
      <c r="D52" t="s">
        <v>16</v>
      </c>
      <c r="E52" t="s">
        <v>17</v>
      </c>
      <c r="F52" t="s">
        <v>25</v>
      </c>
      <c r="G52" t="s">
        <v>26</v>
      </c>
      <c r="H52">
        <v>1000</v>
      </c>
      <c r="I52" t="s">
        <v>20</v>
      </c>
      <c r="J52" t="str">
        <f t="shared" si="0"/>
        <v>Child</v>
      </c>
      <c r="K52" t="str">
        <f t="shared" si="1"/>
        <v>February</v>
      </c>
      <c r="L52">
        <f t="shared" si="2"/>
        <v>2024</v>
      </c>
    </row>
    <row r="53" spans="1:12" x14ac:dyDescent="0.25">
      <c r="A53" t="s">
        <v>83</v>
      </c>
      <c r="B53" s="1">
        <v>45327.867052013891</v>
      </c>
      <c r="C53">
        <v>69</v>
      </c>
      <c r="D53" t="s">
        <v>16</v>
      </c>
      <c r="E53" t="s">
        <v>33</v>
      </c>
      <c r="F53" t="s">
        <v>50</v>
      </c>
      <c r="G53" t="s">
        <v>13</v>
      </c>
      <c r="H53">
        <v>1343</v>
      </c>
      <c r="I53" t="s">
        <v>14</v>
      </c>
      <c r="J53" t="str">
        <f t="shared" si="0"/>
        <v>Senior</v>
      </c>
      <c r="K53" t="str">
        <f t="shared" si="1"/>
        <v>February</v>
      </c>
      <c r="L53">
        <f t="shared" si="2"/>
        <v>2024</v>
      </c>
    </row>
    <row r="54" spans="1:12" x14ac:dyDescent="0.25">
      <c r="A54" t="s">
        <v>84</v>
      </c>
      <c r="B54" s="1">
        <v>45328.570327546295</v>
      </c>
      <c r="C54">
        <v>25</v>
      </c>
      <c r="D54" t="s">
        <v>10</v>
      </c>
      <c r="E54" t="s">
        <v>30</v>
      </c>
      <c r="F54" t="s">
        <v>23</v>
      </c>
      <c r="G54" t="s">
        <v>40</v>
      </c>
      <c r="H54">
        <v>1647</v>
      </c>
      <c r="I54" t="s">
        <v>14</v>
      </c>
      <c r="J54" t="str">
        <f t="shared" si="0"/>
        <v>Adult</v>
      </c>
      <c r="K54" t="str">
        <f t="shared" si="1"/>
        <v>February</v>
      </c>
      <c r="L54">
        <f t="shared" si="2"/>
        <v>2024</v>
      </c>
    </row>
    <row r="55" spans="1:12" x14ac:dyDescent="0.25">
      <c r="A55" t="s">
        <v>85</v>
      </c>
      <c r="B55" s="1">
        <v>45329.273603078705</v>
      </c>
      <c r="C55">
        <v>44</v>
      </c>
      <c r="D55" t="s">
        <v>10</v>
      </c>
      <c r="E55" t="s">
        <v>17</v>
      </c>
      <c r="F55" t="s">
        <v>31</v>
      </c>
      <c r="G55" t="s">
        <v>13</v>
      </c>
      <c r="H55">
        <v>1147</v>
      </c>
      <c r="I55" t="s">
        <v>20</v>
      </c>
      <c r="J55" t="str">
        <f t="shared" si="0"/>
        <v>Middle Age</v>
      </c>
      <c r="K55" t="str">
        <f t="shared" si="1"/>
        <v>February</v>
      </c>
      <c r="L55">
        <f t="shared" si="2"/>
        <v>2024</v>
      </c>
    </row>
    <row r="56" spans="1:12" x14ac:dyDescent="0.25">
      <c r="A56" t="s">
        <v>86</v>
      </c>
      <c r="B56" s="1">
        <v>45329.976878611109</v>
      </c>
      <c r="C56">
        <v>77</v>
      </c>
      <c r="D56" t="s">
        <v>10</v>
      </c>
      <c r="E56" t="s">
        <v>11</v>
      </c>
      <c r="F56" t="s">
        <v>12</v>
      </c>
      <c r="G56" t="s">
        <v>26</v>
      </c>
      <c r="H56">
        <v>2300</v>
      </c>
      <c r="I56" t="s">
        <v>20</v>
      </c>
      <c r="J56" t="str">
        <f t="shared" si="0"/>
        <v>Senior</v>
      </c>
      <c r="K56" t="str">
        <f t="shared" si="1"/>
        <v>February</v>
      </c>
      <c r="L56">
        <f t="shared" si="2"/>
        <v>2024</v>
      </c>
    </row>
    <row r="57" spans="1:12" x14ac:dyDescent="0.25">
      <c r="A57" t="s">
        <v>87</v>
      </c>
      <c r="B57" s="1">
        <v>45330.680154131944</v>
      </c>
      <c r="C57">
        <v>27</v>
      </c>
      <c r="D57" t="s">
        <v>16</v>
      </c>
      <c r="E57" t="s">
        <v>52</v>
      </c>
      <c r="F57" t="s">
        <v>50</v>
      </c>
      <c r="G57" t="s">
        <v>26</v>
      </c>
      <c r="H57">
        <v>1782</v>
      </c>
      <c r="I57" t="s">
        <v>20</v>
      </c>
      <c r="J57" t="str">
        <f t="shared" si="0"/>
        <v>Adult</v>
      </c>
      <c r="K57" t="str">
        <f t="shared" si="1"/>
        <v>February</v>
      </c>
      <c r="L57">
        <f t="shared" si="2"/>
        <v>2024</v>
      </c>
    </row>
    <row r="58" spans="1:12" x14ac:dyDescent="0.25">
      <c r="A58" t="s">
        <v>88</v>
      </c>
      <c r="B58" s="1">
        <v>45331.383429664354</v>
      </c>
      <c r="C58">
        <v>53</v>
      </c>
      <c r="D58" t="s">
        <v>10</v>
      </c>
      <c r="E58" t="s">
        <v>11</v>
      </c>
      <c r="F58" t="s">
        <v>12</v>
      </c>
      <c r="G58" t="s">
        <v>13</v>
      </c>
      <c r="H58">
        <v>1053</v>
      </c>
      <c r="I58" t="s">
        <v>14</v>
      </c>
      <c r="J58" t="str">
        <f t="shared" si="0"/>
        <v>Middle Age</v>
      </c>
      <c r="K58" t="str">
        <f t="shared" si="1"/>
        <v>February</v>
      </c>
      <c r="L58">
        <f t="shared" si="2"/>
        <v>2024</v>
      </c>
    </row>
    <row r="59" spans="1:12" x14ac:dyDescent="0.25">
      <c r="A59" t="s">
        <v>89</v>
      </c>
      <c r="B59" s="1">
        <v>45332.086705196758</v>
      </c>
      <c r="C59">
        <v>81</v>
      </c>
      <c r="D59" t="s">
        <v>10</v>
      </c>
      <c r="E59" t="s">
        <v>33</v>
      </c>
      <c r="F59" t="s">
        <v>23</v>
      </c>
      <c r="G59" t="s">
        <v>40</v>
      </c>
      <c r="H59">
        <v>74</v>
      </c>
      <c r="I59" t="s">
        <v>20</v>
      </c>
      <c r="J59" t="str">
        <f t="shared" si="0"/>
        <v>Senior</v>
      </c>
      <c r="K59" t="str">
        <f t="shared" si="1"/>
        <v>February</v>
      </c>
      <c r="L59">
        <f t="shared" si="2"/>
        <v>2024</v>
      </c>
    </row>
    <row r="60" spans="1:12" x14ac:dyDescent="0.25">
      <c r="A60" t="s">
        <v>90</v>
      </c>
      <c r="B60" s="1">
        <v>45332.789980729169</v>
      </c>
      <c r="C60">
        <v>42</v>
      </c>
      <c r="D60" t="s">
        <v>10</v>
      </c>
      <c r="E60" t="s">
        <v>28</v>
      </c>
      <c r="F60" t="s">
        <v>18</v>
      </c>
      <c r="G60" t="s">
        <v>40</v>
      </c>
      <c r="H60">
        <v>843</v>
      </c>
      <c r="I60" t="s">
        <v>20</v>
      </c>
      <c r="J60" t="str">
        <f t="shared" si="0"/>
        <v>Middle Age</v>
      </c>
      <c r="K60" t="str">
        <f t="shared" si="1"/>
        <v>February</v>
      </c>
      <c r="L60">
        <f t="shared" si="2"/>
        <v>2024</v>
      </c>
    </row>
    <row r="61" spans="1:12" x14ac:dyDescent="0.25">
      <c r="A61" t="s">
        <v>91</v>
      </c>
      <c r="B61" s="1">
        <v>45333.493256261572</v>
      </c>
      <c r="C61">
        <v>83</v>
      </c>
      <c r="D61" t="s">
        <v>16</v>
      </c>
      <c r="E61" t="s">
        <v>22</v>
      </c>
      <c r="F61" t="s">
        <v>31</v>
      </c>
      <c r="G61" t="s">
        <v>26</v>
      </c>
      <c r="H61">
        <v>1107</v>
      </c>
      <c r="I61" t="s">
        <v>20</v>
      </c>
      <c r="J61" t="str">
        <f t="shared" si="0"/>
        <v>Senior</v>
      </c>
      <c r="K61" t="str">
        <f t="shared" si="1"/>
        <v>February</v>
      </c>
      <c r="L61">
        <f t="shared" si="2"/>
        <v>2024</v>
      </c>
    </row>
    <row r="62" spans="1:12" x14ac:dyDescent="0.25">
      <c r="A62" t="s">
        <v>92</v>
      </c>
      <c r="B62" s="1">
        <v>45334.196531782407</v>
      </c>
      <c r="C62">
        <v>16</v>
      </c>
      <c r="D62" t="s">
        <v>16</v>
      </c>
      <c r="E62" t="s">
        <v>22</v>
      </c>
      <c r="F62" t="s">
        <v>12</v>
      </c>
      <c r="G62" t="s">
        <v>40</v>
      </c>
      <c r="H62">
        <v>2116</v>
      </c>
      <c r="I62" t="s">
        <v>14</v>
      </c>
      <c r="J62" t="str">
        <f t="shared" si="0"/>
        <v>Child</v>
      </c>
      <c r="K62" t="str">
        <f t="shared" si="1"/>
        <v>February</v>
      </c>
      <c r="L62">
        <f t="shared" si="2"/>
        <v>2024</v>
      </c>
    </row>
    <row r="63" spans="1:12" x14ac:dyDescent="0.25">
      <c r="A63" t="s">
        <v>93</v>
      </c>
      <c r="B63" s="1">
        <v>45334.899807314818</v>
      </c>
      <c r="C63">
        <v>65</v>
      </c>
      <c r="D63" t="s">
        <v>10</v>
      </c>
      <c r="E63" t="s">
        <v>28</v>
      </c>
      <c r="F63" t="s">
        <v>34</v>
      </c>
      <c r="G63" t="s">
        <v>40</v>
      </c>
      <c r="H63">
        <v>384</v>
      </c>
      <c r="I63" t="s">
        <v>14</v>
      </c>
      <c r="J63" t="str">
        <f t="shared" si="0"/>
        <v>Senior</v>
      </c>
      <c r="K63" t="str">
        <f t="shared" si="1"/>
        <v>February</v>
      </c>
      <c r="L63">
        <f t="shared" si="2"/>
        <v>2024</v>
      </c>
    </row>
    <row r="64" spans="1:12" x14ac:dyDescent="0.25">
      <c r="A64" t="s">
        <v>94</v>
      </c>
      <c r="B64" s="1">
        <v>45335.603082847221</v>
      </c>
      <c r="C64">
        <v>69</v>
      </c>
      <c r="D64" t="s">
        <v>10</v>
      </c>
      <c r="E64" t="s">
        <v>17</v>
      </c>
      <c r="F64" t="s">
        <v>18</v>
      </c>
      <c r="G64" t="s">
        <v>13</v>
      </c>
      <c r="H64">
        <v>2736</v>
      </c>
      <c r="I64" t="s">
        <v>14</v>
      </c>
      <c r="J64" t="str">
        <f t="shared" si="0"/>
        <v>Senior</v>
      </c>
      <c r="K64" t="str">
        <f t="shared" si="1"/>
        <v>February</v>
      </c>
      <c r="L64">
        <f t="shared" si="2"/>
        <v>2024</v>
      </c>
    </row>
    <row r="65" spans="1:12" x14ac:dyDescent="0.25">
      <c r="A65" t="s">
        <v>95</v>
      </c>
      <c r="B65" s="1">
        <v>45336.306358379632</v>
      </c>
      <c r="C65">
        <v>26</v>
      </c>
      <c r="D65" t="s">
        <v>10</v>
      </c>
      <c r="E65" t="s">
        <v>33</v>
      </c>
      <c r="F65" t="s">
        <v>31</v>
      </c>
      <c r="G65" t="s">
        <v>40</v>
      </c>
      <c r="H65">
        <v>864</v>
      </c>
      <c r="I65" t="s">
        <v>20</v>
      </c>
      <c r="J65" t="str">
        <f t="shared" si="0"/>
        <v>Adult</v>
      </c>
      <c r="K65" t="str">
        <f t="shared" si="1"/>
        <v>February</v>
      </c>
      <c r="L65">
        <f t="shared" si="2"/>
        <v>2024</v>
      </c>
    </row>
    <row r="66" spans="1:12" x14ac:dyDescent="0.25">
      <c r="A66" t="s">
        <v>96</v>
      </c>
      <c r="B66" s="1">
        <v>45337.009633900459</v>
      </c>
      <c r="C66">
        <v>88</v>
      </c>
      <c r="D66" t="s">
        <v>16</v>
      </c>
      <c r="E66" t="s">
        <v>36</v>
      </c>
      <c r="F66" t="s">
        <v>31</v>
      </c>
      <c r="G66" t="s">
        <v>13</v>
      </c>
      <c r="H66">
        <v>2361</v>
      </c>
      <c r="I66" t="s">
        <v>20</v>
      </c>
      <c r="J66" t="str">
        <f t="shared" si="0"/>
        <v>Senior</v>
      </c>
      <c r="K66" t="str">
        <f t="shared" si="1"/>
        <v>February</v>
      </c>
      <c r="L66">
        <f t="shared" si="2"/>
        <v>2024</v>
      </c>
    </row>
    <row r="67" spans="1:12" x14ac:dyDescent="0.25">
      <c r="A67" t="s">
        <v>97</v>
      </c>
      <c r="B67" s="1">
        <v>45337.71290943287</v>
      </c>
      <c r="C67">
        <v>8</v>
      </c>
      <c r="D67" t="s">
        <v>16</v>
      </c>
      <c r="E67" t="s">
        <v>36</v>
      </c>
      <c r="F67" t="s">
        <v>34</v>
      </c>
      <c r="G67" t="s">
        <v>13</v>
      </c>
      <c r="H67">
        <v>2606</v>
      </c>
      <c r="I67" t="s">
        <v>14</v>
      </c>
      <c r="J67" t="str">
        <f t="shared" ref="J67:J130" si="3">IF(C67&lt;18,"Child",IF(C67&lt;=40,"Adult",IF(C67&lt;=60,"Middle Age","Senior")))</f>
        <v>Child</v>
      </c>
      <c r="K67" t="str">
        <f t="shared" ref="K67:K130" si="4">TEXT(B67,"mmmm")</f>
        <v>February</v>
      </c>
      <c r="L67">
        <f t="shared" ref="L67:L130" si="5">YEAR(B67)</f>
        <v>2024</v>
      </c>
    </row>
    <row r="68" spans="1:12" x14ac:dyDescent="0.25">
      <c r="A68" t="s">
        <v>98</v>
      </c>
      <c r="B68" s="1">
        <v>45338.416184965281</v>
      </c>
      <c r="C68">
        <v>27</v>
      </c>
      <c r="D68" t="s">
        <v>10</v>
      </c>
      <c r="E68" t="s">
        <v>28</v>
      </c>
      <c r="F68" t="s">
        <v>31</v>
      </c>
      <c r="G68" t="s">
        <v>13</v>
      </c>
      <c r="H68">
        <v>88</v>
      </c>
      <c r="I68" t="s">
        <v>14</v>
      </c>
      <c r="J68" t="str">
        <f t="shared" si="3"/>
        <v>Adult</v>
      </c>
      <c r="K68" t="str">
        <f t="shared" si="4"/>
        <v>February</v>
      </c>
      <c r="L68">
        <f t="shared" si="5"/>
        <v>2024</v>
      </c>
    </row>
    <row r="69" spans="1:12" x14ac:dyDescent="0.25">
      <c r="A69" t="s">
        <v>99</v>
      </c>
      <c r="B69" s="1">
        <v>45339.119460497684</v>
      </c>
      <c r="C69">
        <v>26</v>
      </c>
      <c r="D69" t="s">
        <v>16</v>
      </c>
      <c r="E69" t="s">
        <v>33</v>
      </c>
      <c r="F69" t="s">
        <v>34</v>
      </c>
      <c r="G69" t="s">
        <v>26</v>
      </c>
      <c r="H69">
        <v>2659</v>
      </c>
      <c r="I69" t="s">
        <v>20</v>
      </c>
      <c r="J69" t="str">
        <f t="shared" si="3"/>
        <v>Adult</v>
      </c>
      <c r="K69" t="str">
        <f t="shared" si="4"/>
        <v>February</v>
      </c>
      <c r="L69">
        <f t="shared" si="5"/>
        <v>2024</v>
      </c>
    </row>
    <row r="70" spans="1:12" x14ac:dyDescent="0.25">
      <c r="A70" t="s">
        <v>100</v>
      </c>
      <c r="B70" s="1">
        <v>45339.822736030095</v>
      </c>
      <c r="C70">
        <v>23</v>
      </c>
      <c r="D70" t="s">
        <v>16</v>
      </c>
      <c r="E70" t="s">
        <v>22</v>
      </c>
      <c r="F70" t="s">
        <v>12</v>
      </c>
      <c r="G70" t="s">
        <v>40</v>
      </c>
      <c r="H70">
        <v>936</v>
      </c>
      <c r="I70" t="s">
        <v>14</v>
      </c>
      <c r="J70" t="str">
        <f t="shared" si="3"/>
        <v>Adult</v>
      </c>
      <c r="K70" t="str">
        <f t="shared" si="4"/>
        <v>February</v>
      </c>
      <c r="L70">
        <f t="shared" si="5"/>
        <v>2024</v>
      </c>
    </row>
    <row r="71" spans="1:12" x14ac:dyDescent="0.25">
      <c r="A71" t="s">
        <v>101</v>
      </c>
      <c r="B71" s="1">
        <v>45340.526011550923</v>
      </c>
      <c r="C71">
        <v>10</v>
      </c>
      <c r="D71" t="s">
        <v>16</v>
      </c>
      <c r="E71" t="s">
        <v>33</v>
      </c>
      <c r="F71" t="s">
        <v>34</v>
      </c>
      <c r="G71" t="s">
        <v>40</v>
      </c>
      <c r="H71">
        <v>2112</v>
      </c>
      <c r="I71" t="s">
        <v>20</v>
      </c>
      <c r="J71" t="str">
        <f t="shared" si="3"/>
        <v>Child</v>
      </c>
      <c r="K71" t="str">
        <f t="shared" si="4"/>
        <v>February</v>
      </c>
      <c r="L71">
        <f t="shared" si="5"/>
        <v>2024</v>
      </c>
    </row>
    <row r="72" spans="1:12" x14ac:dyDescent="0.25">
      <c r="A72" t="s">
        <v>102</v>
      </c>
      <c r="B72" s="1">
        <v>45341.229287083333</v>
      </c>
      <c r="C72">
        <v>68</v>
      </c>
      <c r="D72" t="s">
        <v>16</v>
      </c>
      <c r="E72" t="s">
        <v>52</v>
      </c>
      <c r="F72" t="s">
        <v>25</v>
      </c>
      <c r="G72" t="s">
        <v>13</v>
      </c>
      <c r="H72">
        <v>2078</v>
      </c>
      <c r="I72" t="s">
        <v>14</v>
      </c>
      <c r="J72" t="str">
        <f t="shared" si="3"/>
        <v>Senior</v>
      </c>
      <c r="K72" t="str">
        <f t="shared" si="4"/>
        <v>February</v>
      </c>
      <c r="L72">
        <f t="shared" si="5"/>
        <v>2024</v>
      </c>
    </row>
    <row r="73" spans="1:12" x14ac:dyDescent="0.25">
      <c r="A73" t="s">
        <v>103</v>
      </c>
      <c r="B73" s="1">
        <v>45341.932562615744</v>
      </c>
      <c r="C73">
        <v>24</v>
      </c>
      <c r="D73" t="s">
        <v>16</v>
      </c>
      <c r="E73" t="s">
        <v>36</v>
      </c>
      <c r="F73" t="s">
        <v>34</v>
      </c>
      <c r="G73" t="s">
        <v>40</v>
      </c>
      <c r="H73">
        <v>2883</v>
      </c>
      <c r="I73" t="s">
        <v>20</v>
      </c>
      <c r="J73" t="str">
        <f t="shared" si="3"/>
        <v>Adult</v>
      </c>
      <c r="K73" t="str">
        <f t="shared" si="4"/>
        <v>February</v>
      </c>
      <c r="L73">
        <f t="shared" si="5"/>
        <v>2024</v>
      </c>
    </row>
    <row r="74" spans="1:12" x14ac:dyDescent="0.25">
      <c r="A74" t="s">
        <v>104</v>
      </c>
      <c r="B74" s="1">
        <v>45342.635838148148</v>
      </c>
      <c r="C74">
        <v>28</v>
      </c>
      <c r="D74" t="s">
        <v>16</v>
      </c>
      <c r="E74" t="s">
        <v>52</v>
      </c>
      <c r="F74" t="s">
        <v>31</v>
      </c>
      <c r="G74" t="s">
        <v>26</v>
      </c>
      <c r="H74">
        <v>1631</v>
      </c>
      <c r="I74" t="s">
        <v>14</v>
      </c>
      <c r="J74" t="str">
        <f t="shared" si="3"/>
        <v>Adult</v>
      </c>
      <c r="K74" t="str">
        <f t="shared" si="4"/>
        <v>February</v>
      </c>
      <c r="L74">
        <f t="shared" si="5"/>
        <v>2024</v>
      </c>
    </row>
    <row r="75" spans="1:12" x14ac:dyDescent="0.25">
      <c r="A75" t="s">
        <v>105</v>
      </c>
      <c r="B75" s="1">
        <v>45343.339113668982</v>
      </c>
      <c r="C75">
        <v>38</v>
      </c>
      <c r="D75" t="s">
        <v>10</v>
      </c>
      <c r="E75" t="s">
        <v>52</v>
      </c>
      <c r="F75" t="s">
        <v>31</v>
      </c>
      <c r="G75" t="s">
        <v>26</v>
      </c>
      <c r="H75">
        <v>2475</v>
      </c>
      <c r="I75" t="s">
        <v>14</v>
      </c>
      <c r="J75" t="str">
        <f t="shared" si="3"/>
        <v>Adult</v>
      </c>
      <c r="K75" t="str">
        <f t="shared" si="4"/>
        <v>February</v>
      </c>
      <c r="L75">
        <f t="shared" si="5"/>
        <v>2024</v>
      </c>
    </row>
    <row r="76" spans="1:12" x14ac:dyDescent="0.25">
      <c r="A76" t="s">
        <v>106</v>
      </c>
      <c r="B76" s="1">
        <v>45344.042389201386</v>
      </c>
      <c r="C76">
        <v>58</v>
      </c>
      <c r="D76" t="s">
        <v>16</v>
      </c>
      <c r="E76" t="s">
        <v>11</v>
      </c>
      <c r="F76" t="s">
        <v>31</v>
      </c>
      <c r="G76" t="s">
        <v>19</v>
      </c>
      <c r="H76">
        <v>2795</v>
      </c>
      <c r="I76" t="s">
        <v>14</v>
      </c>
      <c r="J76" t="str">
        <f t="shared" si="3"/>
        <v>Middle Age</v>
      </c>
      <c r="K76" t="str">
        <f t="shared" si="4"/>
        <v>February</v>
      </c>
      <c r="L76">
        <f t="shared" si="5"/>
        <v>2024</v>
      </c>
    </row>
    <row r="77" spans="1:12" x14ac:dyDescent="0.25">
      <c r="A77" t="s">
        <v>107</v>
      </c>
      <c r="B77" s="1">
        <v>45344.745664733797</v>
      </c>
      <c r="C77">
        <v>84</v>
      </c>
      <c r="D77" t="s">
        <v>16</v>
      </c>
      <c r="E77" t="s">
        <v>33</v>
      </c>
      <c r="F77" t="s">
        <v>34</v>
      </c>
      <c r="G77" t="s">
        <v>26</v>
      </c>
      <c r="H77">
        <v>1438</v>
      </c>
      <c r="I77" t="s">
        <v>14</v>
      </c>
      <c r="J77" t="str">
        <f t="shared" si="3"/>
        <v>Senior</v>
      </c>
      <c r="K77" t="str">
        <f t="shared" si="4"/>
        <v>February</v>
      </c>
      <c r="L77">
        <f t="shared" si="5"/>
        <v>2024</v>
      </c>
    </row>
    <row r="78" spans="1:12" x14ac:dyDescent="0.25">
      <c r="A78" t="s">
        <v>108</v>
      </c>
      <c r="B78" s="1">
        <v>45345.4489402662</v>
      </c>
      <c r="C78">
        <v>39</v>
      </c>
      <c r="D78" t="s">
        <v>10</v>
      </c>
      <c r="E78" t="s">
        <v>30</v>
      </c>
      <c r="F78" t="s">
        <v>23</v>
      </c>
      <c r="G78" t="s">
        <v>13</v>
      </c>
      <c r="H78">
        <v>2217</v>
      </c>
      <c r="I78" t="s">
        <v>14</v>
      </c>
      <c r="J78" t="str">
        <f t="shared" si="3"/>
        <v>Adult</v>
      </c>
      <c r="K78" t="str">
        <f t="shared" si="4"/>
        <v>February</v>
      </c>
      <c r="L78">
        <f t="shared" si="5"/>
        <v>2024</v>
      </c>
    </row>
    <row r="79" spans="1:12" x14ac:dyDescent="0.25">
      <c r="A79" t="s">
        <v>109</v>
      </c>
      <c r="B79" s="1">
        <v>45346.152215798611</v>
      </c>
      <c r="C79">
        <v>9</v>
      </c>
      <c r="D79" t="s">
        <v>10</v>
      </c>
      <c r="E79" t="s">
        <v>33</v>
      </c>
      <c r="F79" t="s">
        <v>25</v>
      </c>
      <c r="G79" t="s">
        <v>19</v>
      </c>
      <c r="H79">
        <v>2599</v>
      </c>
      <c r="I79" t="s">
        <v>14</v>
      </c>
      <c r="J79" t="str">
        <f t="shared" si="3"/>
        <v>Child</v>
      </c>
      <c r="K79" t="str">
        <f t="shared" si="4"/>
        <v>February</v>
      </c>
      <c r="L79">
        <f t="shared" si="5"/>
        <v>2024</v>
      </c>
    </row>
    <row r="80" spans="1:12" x14ac:dyDescent="0.25">
      <c r="A80" t="s">
        <v>110</v>
      </c>
      <c r="B80" s="1">
        <v>45346.855491319446</v>
      </c>
      <c r="C80">
        <v>33</v>
      </c>
      <c r="D80" t="s">
        <v>16</v>
      </c>
      <c r="E80" t="s">
        <v>30</v>
      </c>
      <c r="F80" t="s">
        <v>23</v>
      </c>
      <c r="G80" t="s">
        <v>19</v>
      </c>
      <c r="H80">
        <v>1919</v>
      </c>
      <c r="I80" t="s">
        <v>20</v>
      </c>
      <c r="J80" t="str">
        <f t="shared" si="3"/>
        <v>Adult</v>
      </c>
      <c r="K80" t="str">
        <f t="shared" si="4"/>
        <v>February</v>
      </c>
      <c r="L80">
        <f t="shared" si="5"/>
        <v>2024</v>
      </c>
    </row>
    <row r="81" spans="1:12" x14ac:dyDescent="0.25">
      <c r="A81" t="s">
        <v>111</v>
      </c>
      <c r="B81" s="1">
        <v>45347.558766851849</v>
      </c>
      <c r="C81">
        <v>35</v>
      </c>
      <c r="D81" t="s">
        <v>16</v>
      </c>
      <c r="E81" t="s">
        <v>36</v>
      </c>
      <c r="F81" t="s">
        <v>31</v>
      </c>
      <c r="G81" t="s">
        <v>40</v>
      </c>
      <c r="H81">
        <v>337</v>
      </c>
      <c r="I81" t="s">
        <v>20</v>
      </c>
      <c r="J81" t="str">
        <f t="shared" si="3"/>
        <v>Adult</v>
      </c>
      <c r="K81" t="str">
        <f t="shared" si="4"/>
        <v>February</v>
      </c>
      <c r="L81">
        <f t="shared" si="5"/>
        <v>2024</v>
      </c>
    </row>
    <row r="82" spans="1:12" x14ac:dyDescent="0.25">
      <c r="A82" t="s">
        <v>112</v>
      </c>
      <c r="B82" s="1">
        <v>45348.26204238426</v>
      </c>
      <c r="C82">
        <v>11</v>
      </c>
      <c r="D82" t="s">
        <v>16</v>
      </c>
      <c r="E82" t="s">
        <v>52</v>
      </c>
      <c r="F82" t="s">
        <v>23</v>
      </c>
      <c r="G82" t="s">
        <v>26</v>
      </c>
      <c r="H82">
        <v>2723</v>
      </c>
      <c r="I82" t="s">
        <v>14</v>
      </c>
      <c r="J82" t="str">
        <f t="shared" si="3"/>
        <v>Child</v>
      </c>
      <c r="K82" t="str">
        <f t="shared" si="4"/>
        <v>February</v>
      </c>
      <c r="L82">
        <f t="shared" si="5"/>
        <v>2024</v>
      </c>
    </row>
    <row r="83" spans="1:12" x14ac:dyDescent="0.25">
      <c r="A83" t="s">
        <v>113</v>
      </c>
      <c r="B83" s="1">
        <v>45348.965317916663</v>
      </c>
      <c r="C83">
        <v>24</v>
      </c>
      <c r="D83" t="s">
        <v>16</v>
      </c>
      <c r="E83" t="s">
        <v>36</v>
      </c>
      <c r="F83" t="s">
        <v>18</v>
      </c>
      <c r="G83" t="s">
        <v>13</v>
      </c>
      <c r="H83">
        <v>1004</v>
      </c>
      <c r="I83" t="s">
        <v>14</v>
      </c>
      <c r="J83" t="str">
        <f t="shared" si="3"/>
        <v>Adult</v>
      </c>
      <c r="K83" t="str">
        <f t="shared" si="4"/>
        <v>February</v>
      </c>
      <c r="L83">
        <f t="shared" si="5"/>
        <v>2024</v>
      </c>
    </row>
    <row r="84" spans="1:12" x14ac:dyDescent="0.25">
      <c r="A84" t="s">
        <v>114</v>
      </c>
      <c r="B84" s="1">
        <v>45349.668593437498</v>
      </c>
      <c r="C84">
        <v>16</v>
      </c>
      <c r="D84" t="s">
        <v>16</v>
      </c>
      <c r="E84" t="s">
        <v>33</v>
      </c>
      <c r="F84" t="s">
        <v>18</v>
      </c>
      <c r="G84" t="s">
        <v>26</v>
      </c>
      <c r="H84">
        <v>2121</v>
      </c>
      <c r="I84" t="s">
        <v>14</v>
      </c>
      <c r="J84" t="str">
        <f t="shared" si="3"/>
        <v>Child</v>
      </c>
      <c r="K84" t="str">
        <f t="shared" si="4"/>
        <v>February</v>
      </c>
      <c r="L84">
        <f t="shared" si="5"/>
        <v>2024</v>
      </c>
    </row>
    <row r="85" spans="1:12" x14ac:dyDescent="0.25">
      <c r="A85" t="s">
        <v>115</v>
      </c>
      <c r="B85" s="1">
        <v>45350.371868969909</v>
      </c>
      <c r="C85">
        <v>88</v>
      </c>
      <c r="D85" t="s">
        <v>16</v>
      </c>
      <c r="E85" t="s">
        <v>30</v>
      </c>
      <c r="F85" t="s">
        <v>12</v>
      </c>
      <c r="G85" t="s">
        <v>19</v>
      </c>
      <c r="H85">
        <v>2391</v>
      </c>
      <c r="I85" t="s">
        <v>20</v>
      </c>
      <c r="J85" t="str">
        <f t="shared" si="3"/>
        <v>Senior</v>
      </c>
      <c r="K85" t="str">
        <f t="shared" si="4"/>
        <v>February</v>
      </c>
      <c r="L85">
        <f t="shared" si="5"/>
        <v>2024</v>
      </c>
    </row>
    <row r="86" spans="1:12" x14ac:dyDescent="0.25">
      <c r="A86" t="s">
        <v>116</v>
      </c>
      <c r="B86" s="1">
        <v>45351.075144502312</v>
      </c>
      <c r="C86">
        <v>26</v>
      </c>
      <c r="D86" t="s">
        <v>10</v>
      </c>
      <c r="E86" t="s">
        <v>11</v>
      </c>
      <c r="F86" t="s">
        <v>12</v>
      </c>
      <c r="G86" t="s">
        <v>26</v>
      </c>
      <c r="H86">
        <v>1116</v>
      </c>
      <c r="I86" t="s">
        <v>14</v>
      </c>
      <c r="J86" t="str">
        <f t="shared" si="3"/>
        <v>Adult</v>
      </c>
      <c r="K86" t="str">
        <f t="shared" si="4"/>
        <v>February</v>
      </c>
      <c r="L86">
        <f t="shared" si="5"/>
        <v>2024</v>
      </c>
    </row>
    <row r="87" spans="1:12" x14ac:dyDescent="0.25">
      <c r="A87" t="s">
        <v>117</v>
      </c>
      <c r="B87" s="1">
        <v>45351.778420034723</v>
      </c>
      <c r="C87">
        <v>72</v>
      </c>
      <c r="D87" t="s">
        <v>10</v>
      </c>
      <c r="E87" t="s">
        <v>30</v>
      </c>
      <c r="F87" t="s">
        <v>34</v>
      </c>
      <c r="G87" t="s">
        <v>26</v>
      </c>
      <c r="H87">
        <v>783</v>
      </c>
      <c r="I87" t="s">
        <v>14</v>
      </c>
      <c r="J87" t="str">
        <f t="shared" si="3"/>
        <v>Senior</v>
      </c>
      <c r="K87" t="str">
        <f t="shared" si="4"/>
        <v>February</v>
      </c>
      <c r="L87">
        <f t="shared" si="5"/>
        <v>2024</v>
      </c>
    </row>
    <row r="88" spans="1:12" x14ac:dyDescent="0.25">
      <c r="A88" t="s">
        <v>118</v>
      </c>
      <c r="B88" s="1">
        <v>45352.481695567127</v>
      </c>
      <c r="C88">
        <v>75</v>
      </c>
      <c r="D88" t="s">
        <v>10</v>
      </c>
      <c r="E88" t="s">
        <v>17</v>
      </c>
      <c r="F88" t="s">
        <v>18</v>
      </c>
      <c r="G88" t="s">
        <v>26</v>
      </c>
      <c r="H88">
        <v>415</v>
      </c>
      <c r="I88" t="s">
        <v>20</v>
      </c>
      <c r="J88" t="str">
        <f t="shared" si="3"/>
        <v>Senior</v>
      </c>
      <c r="K88" t="str">
        <f t="shared" si="4"/>
        <v>March</v>
      </c>
      <c r="L88">
        <f t="shared" si="5"/>
        <v>2024</v>
      </c>
    </row>
    <row r="89" spans="1:12" x14ac:dyDescent="0.25">
      <c r="A89" t="s">
        <v>119</v>
      </c>
      <c r="B89" s="1">
        <v>45353.184971087961</v>
      </c>
      <c r="C89">
        <v>63</v>
      </c>
      <c r="D89" t="s">
        <v>10</v>
      </c>
      <c r="E89" t="s">
        <v>17</v>
      </c>
      <c r="F89" t="s">
        <v>23</v>
      </c>
      <c r="G89" t="s">
        <v>26</v>
      </c>
      <c r="H89">
        <v>2578</v>
      </c>
      <c r="I89" t="s">
        <v>20</v>
      </c>
      <c r="J89" t="str">
        <f t="shared" si="3"/>
        <v>Senior</v>
      </c>
      <c r="K89" t="str">
        <f t="shared" si="4"/>
        <v>March</v>
      </c>
      <c r="L89">
        <f t="shared" si="5"/>
        <v>2024</v>
      </c>
    </row>
    <row r="90" spans="1:12" x14ac:dyDescent="0.25">
      <c r="A90" t="s">
        <v>120</v>
      </c>
      <c r="B90" s="1">
        <v>45353.888246620372</v>
      </c>
      <c r="C90">
        <v>47</v>
      </c>
      <c r="D90" t="s">
        <v>16</v>
      </c>
      <c r="E90" t="s">
        <v>52</v>
      </c>
      <c r="F90" t="s">
        <v>18</v>
      </c>
      <c r="G90" t="s">
        <v>26</v>
      </c>
      <c r="H90">
        <v>2252</v>
      </c>
      <c r="I90" t="s">
        <v>14</v>
      </c>
      <c r="J90" t="str">
        <f t="shared" si="3"/>
        <v>Middle Age</v>
      </c>
      <c r="K90" t="str">
        <f t="shared" si="4"/>
        <v>March</v>
      </c>
      <c r="L90">
        <f t="shared" si="5"/>
        <v>2024</v>
      </c>
    </row>
    <row r="91" spans="1:12" x14ac:dyDescent="0.25">
      <c r="A91" t="s">
        <v>121</v>
      </c>
      <c r="B91" s="1">
        <v>45354.591522152776</v>
      </c>
      <c r="C91">
        <v>33</v>
      </c>
      <c r="D91" t="s">
        <v>16</v>
      </c>
      <c r="E91" t="s">
        <v>52</v>
      </c>
      <c r="F91" t="s">
        <v>34</v>
      </c>
      <c r="G91" t="s">
        <v>13</v>
      </c>
      <c r="H91">
        <v>96</v>
      </c>
      <c r="I91" t="s">
        <v>20</v>
      </c>
      <c r="J91" t="str">
        <f t="shared" si="3"/>
        <v>Adult</v>
      </c>
      <c r="K91" t="str">
        <f t="shared" si="4"/>
        <v>March</v>
      </c>
      <c r="L91">
        <f t="shared" si="5"/>
        <v>2024</v>
      </c>
    </row>
    <row r="92" spans="1:12" x14ac:dyDescent="0.25">
      <c r="A92" t="s">
        <v>122</v>
      </c>
      <c r="B92" s="1">
        <v>45355.294797685186</v>
      </c>
      <c r="C92">
        <v>89</v>
      </c>
      <c r="D92" t="s">
        <v>16</v>
      </c>
      <c r="E92" t="s">
        <v>11</v>
      </c>
      <c r="F92" t="s">
        <v>23</v>
      </c>
      <c r="G92" t="s">
        <v>13</v>
      </c>
      <c r="H92">
        <v>964</v>
      </c>
      <c r="I92" t="s">
        <v>14</v>
      </c>
      <c r="J92" t="str">
        <f t="shared" si="3"/>
        <v>Senior</v>
      </c>
      <c r="K92" t="str">
        <f t="shared" si="4"/>
        <v>March</v>
      </c>
      <c r="L92">
        <f t="shared" si="5"/>
        <v>2024</v>
      </c>
    </row>
    <row r="93" spans="1:12" x14ac:dyDescent="0.25">
      <c r="A93" t="s">
        <v>123</v>
      </c>
      <c r="B93" s="1">
        <v>45355.99807321759</v>
      </c>
      <c r="C93">
        <v>24</v>
      </c>
      <c r="D93" t="s">
        <v>16</v>
      </c>
      <c r="E93" t="s">
        <v>52</v>
      </c>
      <c r="F93" t="s">
        <v>50</v>
      </c>
      <c r="G93" t="s">
        <v>13</v>
      </c>
      <c r="H93">
        <v>729</v>
      </c>
      <c r="I93" t="s">
        <v>14</v>
      </c>
      <c r="J93" t="str">
        <f t="shared" si="3"/>
        <v>Adult</v>
      </c>
      <c r="K93" t="str">
        <f t="shared" si="4"/>
        <v>March</v>
      </c>
      <c r="L93">
        <f t="shared" si="5"/>
        <v>2024</v>
      </c>
    </row>
    <row r="94" spans="1:12" x14ac:dyDescent="0.25">
      <c r="A94" t="s">
        <v>124</v>
      </c>
      <c r="B94" s="1">
        <v>45356.701348738425</v>
      </c>
      <c r="C94">
        <v>56</v>
      </c>
      <c r="D94" t="s">
        <v>16</v>
      </c>
      <c r="E94" t="s">
        <v>17</v>
      </c>
      <c r="F94" t="s">
        <v>18</v>
      </c>
      <c r="G94" t="s">
        <v>13</v>
      </c>
      <c r="H94">
        <v>1625</v>
      </c>
      <c r="I94" t="s">
        <v>14</v>
      </c>
      <c r="J94" t="str">
        <f t="shared" si="3"/>
        <v>Middle Age</v>
      </c>
      <c r="K94" t="str">
        <f t="shared" si="4"/>
        <v>March</v>
      </c>
      <c r="L94">
        <f t="shared" si="5"/>
        <v>2024</v>
      </c>
    </row>
    <row r="95" spans="1:12" x14ac:dyDescent="0.25">
      <c r="A95" t="s">
        <v>125</v>
      </c>
      <c r="B95" s="1">
        <v>45357.404624270835</v>
      </c>
      <c r="C95">
        <v>66</v>
      </c>
      <c r="D95" t="s">
        <v>16</v>
      </c>
      <c r="E95" t="s">
        <v>52</v>
      </c>
      <c r="F95" t="s">
        <v>18</v>
      </c>
      <c r="G95" t="s">
        <v>26</v>
      </c>
      <c r="H95">
        <v>2232</v>
      </c>
      <c r="I95" t="s">
        <v>20</v>
      </c>
      <c r="J95" t="str">
        <f t="shared" si="3"/>
        <v>Senior</v>
      </c>
      <c r="K95" t="str">
        <f t="shared" si="4"/>
        <v>March</v>
      </c>
      <c r="L95">
        <f t="shared" si="5"/>
        <v>2024</v>
      </c>
    </row>
    <row r="96" spans="1:12" x14ac:dyDescent="0.25">
      <c r="A96" t="s">
        <v>126</v>
      </c>
      <c r="B96" s="1">
        <v>45358.107899803239</v>
      </c>
      <c r="C96">
        <v>78</v>
      </c>
      <c r="D96" t="s">
        <v>10</v>
      </c>
      <c r="E96" t="s">
        <v>52</v>
      </c>
      <c r="F96" t="s">
        <v>31</v>
      </c>
      <c r="G96" t="s">
        <v>13</v>
      </c>
      <c r="H96">
        <v>2460</v>
      </c>
      <c r="I96" t="s">
        <v>20</v>
      </c>
      <c r="J96" t="str">
        <f t="shared" si="3"/>
        <v>Senior</v>
      </c>
      <c r="K96" t="str">
        <f t="shared" si="4"/>
        <v>March</v>
      </c>
      <c r="L96">
        <f t="shared" si="5"/>
        <v>2024</v>
      </c>
    </row>
    <row r="97" spans="1:12" x14ac:dyDescent="0.25">
      <c r="A97" t="s">
        <v>127</v>
      </c>
      <c r="B97" s="1">
        <v>45358.81117533565</v>
      </c>
      <c r="C97">
        <v>4</v>
      </c>
      <c r="D97" t="s">
        <v>10</v>
      </c>
      <c r="E97" t="s">
        <v>17</v>
      </c>
      <c r="F97" t="s">
        <v>12</v>
      </c>
      <c r="G97" t="s">
        <v>40</v>
      </c>
      <c r="H97">
        <v>118</v>
      </c>
      <c r="I97" t="s">
        <v>14</v>
      </c>
      <c r="J97" t="str">
        <f t="shared" si="3"/>
        <v>Child</v>
      </c>
      <c r="K97" t="str">
        <f t="shared" si="4"/>
        <v>March</v>
      </c>
      <c r="L97">
        <f t="shared" si="5"/>
        <v>2024</v>
      </c>
    </row>
    <row r="98" spans="1:12" x14ac:dyDescent="0.25">
      <c r="A98" t="s">
        <v>128</v>
      </c>
      <c r="B98" s="1">
        <v>45359.514450856484</v>
      </c>
      <c r="C98">
        <v>1</v>
      </c>
      <c r="D98" t="s">
        <v>16</v>
      </c>
      <c r="E98" t="s">
        <v>28</v>
      </c>
      <c r="F98" t="s">
        <v>25</v>
      </c>
      <c r="G98" t="s">
        <v>19</v>
      </c>
      <c r="H98">
        <v>2722</v>
      </c>
      <c r="I98" t="s">
        <v>14</v>
      </c>
      <c r="J98" t="str">
        <f t="shared" si="3"/>
        <v>Child</v>
      </c>
      <c r="K98" t="str">
        <f t="shared" si="4"/>
        <v>March</v>
      </c>
      <c r="L98">
        <f t="shared" si="5"/>
        <v>2024</v>
      </c>
    </row>
    <row r="99" spans="1:12" x14ac:dyDescent="0.25">
      <c r="A99" t="s">
        <v>129</v>
      </c>
      <c r="B99" s="1">
        <v>45360.217726388888</v>
      </c>
      <c r="C99">
        <v>78</v>
      </c>
      <c r="D99" t="s">
        <v>16</v>
      </c>
      <c r="E99" t="s">
        <v>33</v>
      </c>
      <c r="F99" t="s">
        <v>18</v>
      </c>
      <c r="G99" t="s">
        <v>13</v>
      </c>
      <c r="H99">
        <v>89</v>
      </c>
      <c r="I99" t="s">
        <v>20</v>
      </c>
      <c r="J99" t="str">
        <f t="shared" si="3"/>
        <v>Senior</v>
      </c>
      <c r="K99" t="str">
        <f t="shared" si="4"/>
        <v>March</v>
      </c>
      <c r="L99">
        <f t="shared" si="5"/>
        <v>2024</v>
      </c>
    </row>
    <row r="100" spans="1:12" x14ac:dyDescent="0.25">
      <c r="A100" t="s">
        <v>130</v>
      </c>
      <c r="B100" s="1">
        <v>45360.921001921299</v>
      </c>
      <c r="C100">
        <v>7</v>
      </c>
      <c r="D100" t="s">
        <v>16</v>
      </c>
      <c r="E100" t="s">
        <v>33</v>
      </c>
      <c r="F100" t="s">
        <v>50</v>
      </c>
      <c r="G100" t="s">
        <v>13</v>
      </c>
      <c r="H100">
        <v>2400</v>
      </c>
      <c r="I100" t="s">
        <v>14</v>
      </c>
      <c r="J100" t="str">
        <f t="shared" si="3"/>
        <v>Child</v>
      </c>
      <c r="K100" t="str">
        <f t="shared" si="4"/>
        <v>March</v>
      </c>
      <c r="L100">
        <f t="shared" si="5"/>
        <v>2024</v>
      </c>
    </row>
    <row r="101" spans="1:12" x14ac:dyDescent="0.25">
      <c r="A101" t="s">
        <v>131</v>
      </c>
      <c r="B101" s="1">
        <v>45361.624277453702</v>
      </c>
      <c r="C101">
        <v>53</v>
      </c>
      <c r="D101" t="s">
        <v>10</v>
      </c>
      <c r="E101" t="s">
        <v>22</v>
      </c>
      <c r="F101" t="s">
        <v>25</v>
      </c>
      <c r="G101" t="s">
        <v>40</v>
      </c>
      <c r="H101">
        <v>1863</v>
      </c>
      <c r="I101" t="s">
        <v>20</v>
      </c>
      <c r="J101" t="str">
        <f t="shared" si="3"/>
        <v>Middle Age</v>
      </c>
      <c r="K101" t="str">
        <f t="shared" si="4"/>
        <v>March</v>
      </c>
      <c r="L101">
        <f t="shared" si="5"/>
        <v>2024</v>
      </c>
    </row>
    <row r="102" spans="1:12" x14ac:dyDescent="0.25">
      <c r="A102" t="s">
        <v>132</v>
      </c>
      <c r="B102" s="1">
        <v>45362.327552986113</v>
      </c>
      <c r="C102">
        <v>86</v>
      </c>
      <c r="D102" t="s">
        <v>10</v>
      </c>
      <c r="E102" t="s">
        <v>17</v>
      </c>
      <c r="F102" t="s">
        <v>31</v>
      </c>
      <c r="G102" t="s">
        <v>26</v>
      </c>
      <c r="H102">
        <v>373</v>
      </c>
      <c r="I102" t="s">
        <v>14</v>
      </c>
      <c r="J102" t="str">
        <f t="shared" si="3"/>
        <v>Senior</v>
      </c>
      <c r="K102" t="str">
        <f t="shared" si="4"/>
        <v>March</v>
      </c>
      <c r="L102">
        <f t="shared" si="5"/>
        <v>2024</v>
      </c>
    </row>
    <row r="103" spans="1:12" x14ac:dyDescent="0.25">
      <c r="A103" t="s">
        <v>133</v>
      </c>
      <c r="B103" s="1">
        <v>45363.030828506948</v>
      </c>
      <c r="C103">
        <v>71</v>
      </c>
      <c r="D103" t="s">
        <v>16</v>
      </c>
      <c r="E103" t="s">
        <v>33</v>
      </c>
      <c r="F103" t="s">
        <v>23</v>
      </c>
      <c r="G103" t="s">
        <v>19</v>
      </c>
      <c r="H103">
        <v>2171</v>
      </c>
      <c r="I103" t="s">
        <v>20</v>
      </c>
      <c r="J103" t="str">
        <f t="shared" si="3"/>
        <v>Senior</v>
      </c>
      <c r="K103" t="str">
        <f t="shared" si="4"/>
        <v>March</v>
      </c>
      <c r="L103">
        <f t="shared" si="5"/>
        <v>2024</v>
      </c>
    </row>
    <row r="104" spans="1:12" x14ac:dyDescent="0.25">
      <c r="A104" t="s">
        <v>134</v>
      </c>
      <c r="B104" s="1">
        <v>45363.734104039351</v>
      </c>
      <c r="C104">
        <v>3</v>
      </c>
      <c r="D104" t="s">
        <v>16</v>
      </c>
      <c r="E104" t="s">
        <v>33</v>
      </c>
      <c r="F104" t="s">
        <v>50</v>
      </c>
      <c r="G104" t="s">
        <v>19</v>
      </c>
      <c r="H104">
        <v>1302</v>
      </c>
      <c r="I104" t="s">
        <v>20</v>
      </c>
      <c r="J104" t="str">
        <f t="shared" si="3"/>
        <v>Child</v>
      </c>
      <c r="K104" t="str">
        <f t="shared" si="4"/>
        <v>March</v>
      </c>
      <c r="L104">
        <f t="shared" si="5"/>
        <v>2024</v>
      </c>
    </row>
    <row r="105" spans="1:12" x14ac:dyDescent="0.25">
      <c r="A105" t="s">
        <v>135</v>
      </c>
      <c r="B105" s="1">
        <v>45364.437379571762</v>
      </c>
      <c r="C105">
        <v>77</v>
      </c>
      <c r="D105" t="s">
        <v>10</v>
      </c>
      <c r="E105" t="s">
        <v>28</v>
      </c>
      <c r="F105" t="s">
        <v>31</v>
      </c>
      <c r="G105" t="s">
        <v>13</v>
      </c>
      <c r="H105">
        <v>1098</v>
      </c>
      <c r="I105" t="s">
        <v>14</v>
      </c>
      <c r="J105" t="str">
        <f t="shared" si="3"/>
        <v>Senior</v>
      </c>
      <c r="K105" t="str">
        <f t="shared" si="4"/>
        <v>March</v>
      </c>
      <c r="L105">
        <f t="shared" si="5"/>
        <v>2024</v>
      </c>
    </row>
    <row r="106" spans="1:12" x14ac:dyDescent="0.25">
      <c r="A106" t="s">
        <v>136</v>
      </c>
      <c r="B106" s="1">
        <v>45365.140655104165</v>
      </c>
      <c r="C106">
        <v>22</v>
      </c>
      <c r="D106" t="s">
        <v>10</v>
      </c>
      <c r="E106" t="s">
        <v>28</v>
      </c>
      <c r="F106" t="s">
        <v>34</v>
      </c>
      <c r="G106" t="s">
        <v>19</v>
      </c>
      <c r="H106">
        <v>249</v>
      </c>
      <c r="I106" t="s">
        <v>20</v>
      </c>
      <c r="J106" t="str">
        <f t="shared" si="3"/>
        <v>Adult</v>
      </c>
      <c r="K106" t="str">
        <f t="shared" si="4"/>
        <v>March</v>
      </c>
      <c r="L106">
        <f t="shared" si="5"/>
        <v>2024</v>
      </c>
    </row>
    <row r="107" spans="1:12" x14ac:dyDescent="0.25">
      <c r="A107" t="s">
        <v>137</v>
      </c>
      <c r="B107" s="1">
        <v>45365.843930625</v>
      </c>
      <c r="C107">
        <v>76</v>
      </c>
      <c r="D107" t="s">
        <v>10</v>
      </c>
      <c r="E107" t="s">
        <v>22</v>
      </c>
      <c r="F107" t="s">
        <v>18</v>
      </c>
      <c r="G107" t="s">
        <v>40</v>
      </c>
      <c r="H107">
        <v>2130</v>
      </c>
      <c r="I107" t="s">
        <v>14</v>
      </c>
      <c r="J107" t="str">
        <f t="shared" si="3"/>
        <v>Senior</v>
      </c>
      <c r="K107" t="str">
        <f t="shared" si="4"/>
        <v>March</v>
      </c>
      <c r="L107">
        <f t="shared" si="5"/>
        <v>2024</v>
      </c>
    </row>
    <row r="108" spans="1:12" x14ac:dyDescent="0.25">
      <c r="A108" t="s">
        <v>138</v>
      </c>
      <c r="B108" s="1">
        <v>45366.547206157411</v>
      </c>
      <c r="C108">
        <v>8</v>
      </c>
      <c r="D108" t="s">
        <v>10</v>
      </c>
      <c r="E108" t="s">
        <v>33</v>
      </c>
      <c r="F108" t="s">
        <v>12</v>
      </c>
      <c r="G108" t="s">
        <v>19</v>
      </c>
      <c r="H108">
        <v>2035</v>
      </c>
      <c r="I108" t="s">
        <v>20</v>
      </c>
      <c r="J108" t="str">
        <f t="shared" si="3"/>
        <v>Child</v>
      </c>
      <c r="K108" t="str">
        <f t="shared" si="4"/>
        <v>March</v>
      </c>
      <c r="L108">
        <f t="shared" si="5"/>
        <v>2024</v>
      </c>
    </row>
    <row r="109" spans="1:12" x14ac:dyDescent="0.25">
      <c r="A109" t="s">
        <v>139</v>
      </c>
      <c r="B109" s="1">
        <v>45367.250481689814</v>
      </c>
      <c r="C109">
        <v>78</v>
      </c>
      <c r="D109" t="s">
        <v>16</v>
      </c>
      <c r="E109" t="s">
        <v>22</v>
      </c>
      <c r="F109" t="s">
        <v>31</v>
      </c>
      <c r="G109" t="s">
        <v>13</v>
      </c>
      <c r="H109">
        <v>2745</v>
      </c>
      <c r="I109" t="s">
        <v>20</v>
      </c>
      <c r="J109" t="str">
        <f t="shared" si="3"/>
        <v>Senior</v>
      </c>
      <c r="K109" t="str">
        <f t="shared" si="4"/>
        <v>March</v>
      </c>
      <c r="L109">
        <f t="shared" si="5"/>
        <v>2024</v>
      </c>
    </row>
    <row r="110" spans="1:12" x14ac:dyDescent="0.25">
      <c r="A110" t="s">
        <v>140</v>
      </c>
      <c r="B110" s="1">
        <v>45367.953757222225</v>
      </c>
      <c r="C110">
        <v>73</v>
      </c>
      <c r="D110" t="s">
        <v>16</v>
      </c>
      <c r="E110" t="s">
        <v>36</v>
      </c>
      <c r="F110" t="s">
        <v>50</v>
      </c>
      <c r="G110" t="s">
        <v>13</v>
      </c>
      <c r="H110">
        <v>2868</v>
      </c>
      <c r="I110" t="s">
        <v>14</v>
      </c>
      <c r="J110" t="str">
        <f t="shared" si="3"/>
        <v>Senior</v>
      </c>
      <c r="K110" t="str">
        <f t="shared" si="4"/>
        <v>March</v>
      </c>
      <c r="L110">
        <f t="shared" si="5"/>
        <v>2024</v>
      </c>
    </row>
    <row r="111" spans="1:12" x14ac:dyDescent="0.25">
      <c r="A111" t="s">
        <v>141</v>
      </c>
      <c r="B111" s="1">
        <v>45368.657032754629</v>
      </c>
      <c r="C111">
        <v>76</v>
      </c>
      <c r="D111" t="s">
        <v>10</v>
      </c>
      <c r="E111" t="s">
        <v>33</v>
      </c>
      <c r="F111" t="s">
        <v>25</v>
      </c>
      <c r="G111" t="s">
        <v>19</v>
      </c>
      <c r="H111">
        <v>790</v>
      </c>
      <c r="I111" t="s">
        <v>14</v>
      </c>
      <c r="J111" t="str">
        <f t="shared" si="3"/>
        <v>Senior</v>
      </c>
      <c r="K111" t="str">
        <f t="shared" si="4"/>
        <v>March</v>
      </c>
      <c r="L111">
        <f t="shared" si="5"/>
        <v>2024</v>
      </c>
    </row>
    <row r="112" spans="1:12" x14ac:dyDescent="0.25">
      <c r="A112" t="s">
        <v>142</v>
      </c>
      <c r="B112" s="1">
        <v>45369.360308275463</v>
      </c>
      <c r="C112">
        <v>77</v>
      </c>
      <c r="D112" t="s">
        <v>10</v>
      </c>
      <c r="E112" t="s">
        <v>28</v>
      </c>
      <c r="F112" t="s">
        <v>12</v>
      </c>
      <c r="G112" t="s">
        <v>13</v>
      </c>
      <c r="H112">
        <v>1042</v>
      </c>
      <c r="I112" t="s">
        <v>14</v>
      </c>
      <c r="J112" t="str">
        <f t="shared" si="3"/>
        <v>Senior</v>
      </c>
      <c r="K112" t="str">
        <f t="shared" si="4"/>
        <v>March</v>
      </c>
      <c r="L112">
        <f t="shared" si="5"/>
        <v>2024</v>
      </c>
    </row>
    <row r="113" spans="1:12" x14ac:dyDescent="0.25">
      <c r="A113" t="s">
        <v>143</v>
      </c>
      <c r="B113" s="1">
        <v>45370.063583807867</v>
      </c>
      <c r="C113">
        <v>44</v>
      </c>
      <c r="D113" t="s">
        <v>10</v>
      </c>
      <c r="E113" t="s">
        <v>52</v>
      </c>
      <c r="F113" t="s">
        <v>31</v>
      </c>
      <c r="G113" t="s">
        <v>19</v>
      </c>
      <c r="H113">
        <v>2630</v>
      </c>
      <c r="I113" t="s">
        <v>14</v>
      </c>
      <c r="J113" t="str">
        <f t="shared" si="3"/>
        <v>Middle Age</v>
      </c>
      <c r="K113" t="str">
        <f t="shared" si="4"/>
        <v>March</v>
      </c>
      <c r="L113">
        <f t="shared" si="5"/>
        <v>2024</v>
      </c>
    </row>
    <row r="114" spans="1:12" x14ac:dyDescent="0.25">
      <c r="A114" t="s">
        <v>144</v>
      </c>
      <c r="B114" s="1">
        <v>45370.766859340278</v>
      </c>
      <c r="C114">
        <v>21</v>
      </c>
      <c r="D114" t="s">
        <v>10</v>
      </c>
      <c r="E114" t="s">
        <v>33</v>
      </c>
      <c r="F114" t="s">
        <v>12</v>
      </c>
      <c r="G114" t="s">
        <v>40</v>
      </c>
      <c r="H114">
        <v>647</v>
      </c>
      <c r="I114" t="s">
        <v>20</v>
      </c>
      <c r="J114" t="str">
        <f t="shared" si="3"/>
        <v>Adult</v>
      </c>
      <c r="K114" t="str">
        <f t="shared" si="4"/>
        <v>March</v>
      </c>
      <c r="L114">
        <f t="shared" si="5"/>
        <v>2024</v>
      </c>
    </row>
    <row r="115" spans="1:12" x14ac:dyDescent="0.25">
      <c r="A115" t="s">
        <v>145</v>
      </c>
      <c r="B115" s="1">
        <v>45371.470134872689</v>
      </c>
      <c r="C115">
        <v>31</v>
      </c>
      <c r="D115" t="s">
        <v>16</v>
      </c>
      <c r="E115" t="s">
        <v>36</v>
      </c>
      <c r="F115" t="s">
        <v>23</v>
      </c>
      <c r="G115" t="s">
        <v>19</v>
      </c>
      <c r="H115">
        <v>1168</v>
      </c>
      <c r="I115" t="s">
        <v>20</v>
      </c>
      <c r="J115" t="str">
        <f t="shared" si="3"/>
        <v>Adult</v>
      </c>
      <c r="K115" t="str">
        <f t="shared" si="4"/>
        <v>March</v>
      </c>
      <c r="L115">
        <f t="shared" si="5"/>
        <v>2024</v>
      </c>
    </row>
    <row r="116" spans="1:12" x14ac:dyDescent="0.25">
      <c r="A116" t="s">
        <v>146</v>
      </c>
      <c r="B116" s="1">
        <v>45372.173410393516</v>
      </c>
      <c r="C116">
        <v>37</v>
      </c>
      <c r="D116" t="s">
        <v>10</v>
      </c>
      <c r="E116" t="s">
        <v>52</v>
      </c>
      <c r="F116" t="s">
        <v>31</v>
      </c>
      <c r="G116" t="s">
        <v>26</v>
      </c>
      <c r="H116">
        <v>1493</v>
      </c>
      <c r="I116" t="s">
        <v>14</v>
      </c>
      <c r="J116" t="str">
        <f t="shared" si="3"/>
        <v>Adult</v>
      </c>
      <c r="K116" t="str">
        <f t="shared" si="4"/>
        <v>March</v>
      </c>
      <c r="L116">
        <f t="shared" si="5"/>
        <v>2024</v>
      </c>
    </row>
    <row r="117" spans="1:12" x14ac:dyDescent="0.25">
      <c r="A117" t="s">
        <v>147</v>
      </c>
      <c r="B117" s="1">
        <v>45372.876685925927</v>
      </c>
      <c r="C117">
        <v>8</v>
      </c>
      <c r="D117" t="s">
        <v>16</v>
      </c>
      <c r="E117" t="s">
        <v>33</v>
      </c>
      <c r="F117" t="s">
        <v>18</v>
      </c>
      <c r="G117" t="s">
        <v>13</v>
      </c>
      <c r="H117">
        <v>2883</v>
      </c>
      <c r="I117" t="s">
        <v>14</v>
      </c>
      <c r="J117" t="str">
        <f t="shared" si="3"/>
        <v>Child</v>
      </c>
      <c r="K117" t="str">
        <f t="shared" si="4"/>
        <v>March</v>
      </c>
      <c r="L117">
        <f t="shared" si="5"/>
        <v>2024</v>
      </c>
    </row>
    <row r="118" spans="1:12" x14ac:dyDescent="0.25">
      <c r="A118" t="s">
        <v>148</v>
      </c>
      <c r="B118" s="1">
        <v>45373.57996145833</v>
      </c>
      <c r="C118">
        <v>46</v>
      </c>
      <c r="D118" t="s">
        <v>16</v>
      </c>
      <c r="E118" t="s">
        <v>36</v>
      </c>
      <c r="F118" t="s">
        <v>18</v>
      </c>
      <c r="G118" t="s">
        <v>40</v>
      </c>
      <c r="H118">
        <v>733</v>
      </c>
      <c r="I118" t="s">
        <v>14</v>
      </c>
      <c r="J118" t="str">
        <f t="shared" si="3"/>
        <v>Middle Age</v>
      </c>
      <c r="K118" t="str">
        <f t="shared" si="4"/>
        <v>March</v>
      </c>
      <c r="L118">
        <f t="shared" si="5"/>
        <v>2024</v>
      </c>
    </row>
    <row r="119" spans="1:12" x14ac:dyDescent="0.25">
      <c r="A119" t="s">
        <v>149</v>
      </c>
      <c r="B119" s="1">
        <v>45374.283236990741</v>
      </c>
      <c r="C119">
        <v>69</v>
      </c>
      <c r="D119" t="s">
        <v>10</v>
      </c>
      <c r="E119" t="s">
        <v>22</v>
      </c>
      <c r="F119" t="s">
        <v>31</v>
      </c>
      <c r="G119" t="s">
        <v>19</v>
      </c>
      <c r="H119">
        <v>742</v>
      </c>
      <c r="I119" t="s">
        <v>20</v>
      </c>
      <c r="J119" t="str">
        <f t="shared" si="3"/>
        <v>Senior</v>
      </c>
      <c r="K119" t="str">
        <f t="shared" si="4"/>
        <v>March</v>
      </c>
      <c r="L119">
        <f t="shared" si="5"/>
        <v>2024</v>
      </c>
    </row>
    <row r="120" spans="1:12" x14ac:dyDescent="0.25">
      <c r="A120" t="s">
        <v>150</v>
      </c>
      <c r="B120" s="1">
        <v>45374.986512523152</v>
      </c>
      <c r="C120">
        <v>58</v>
      </c>
      <c r="D120" t="s">
        <v>10</v>
      </c>
      <c r="E120" t="s">
        <v>11</v>
      </c>
      <c r="F120" t="s">
        <v>12</v>
      </c>
      <c r="G120" t="s">
        <v>13</v>
      </c>
      <c r="H120">
        <v>1681</v>
      </c>
      <c r="I120" t="s">
        <v>14</v>
      </c>
      <c r="J120" t="str">
        <f t="shared" si="3"/>
        <v>Middle Age</v>
      </c>
      <c r="K120" t="str">
        <f t="shared" si="4"/>
        <v>March</v>
      </c>
      <c r="L120">
        <f t="shared" si="5"/>
        <v>2024</v>
      </c>
    </row>
    <row r="121" spans="1:12" x14ac:dyDescent="0.25">
      <c r="A121" t="s">
        <v>151</v>
      </c>
      <c r="B121" s="1">
        <v>45375.689788043979</v>
      </c>
      <c r="C121">
        <v>83</v>
      </c>
      <c r="D121" t="s">
        <v>10</v>
      </c>
      <c r="E121" t="s">
        <v>33</v>
      </c>
      <c r="F121" t="s">
        <v>50</v>
      </c>
      <c r="G121" t="s">
        <v>26</v>
      </c>
      <c r="H121">
        <v>331</v>
      </c>
      <c r="I121" t="s">
        <v>20</v>
      </c>
      <c r="J121" t="str">
        <f t="shared" si="3"/>
        <v>Senior</v>
      </c>
      <c r="K121" t="str">
        <f t="shared" si="4"/>
        <v>March</v>
      </c>
      <c r="L121">
        <f t="shared" si="5"/>
        <v>2024</v>
      </c>
    </row>
    <row r="122" spans="1:12" x14ac:dyDescent="0.25">
      <c r="A122" t="s">
        <v>152</v>
      </c>
      <c r="B122" s="1">
        <v>45376.39306357639</v>
      </c>
      <c r="C122">
        <v>14</v>
      </c>
      <c r="D122" t="s">
        <v>10</v>
      </c>
      <c r="E122" t="s">
        <v>30</v>
      </c>
      <c r="F122" t="s">
        <v>12</v>
      </c>
      <c r="G122" t="s">
        <v>40</v>
      </c>
      <c r="H122">
        <v>153</v>
      </c>
      <c r="I122" t="s">
        <v>20</v>
      </c>
      <c r="J122" t="str">
        <f t="shared" si="3"/>
        <v>Child</v>
      </c>
      <c r="K122" t="str">
        <f t="shared" si="4"/>
        <v>March</v>
      </c>
      <c r="L122">
        <f t="shared" si="5"/>
        <v>2024</v>
      </c>
    </row>
    <row r="123" spans="1:12" x14ac:dyDescent="0.25">
      <c r="A123" t="s">
        <v>153</v>
      </c>
      <c r="B123" s="1">
        <v>45377.096339108793</v>
      </c>
      <c r="C123">
        <v>11</v>
      </c>
      <c r="D123" t="s">
        <v>10</v>
      </c>
      <c r="E123" t="s">
        <v>28</v>
      </c>
      <c r="F123" t="s">
        <v>50</v>
      </c>
      <c r="G123" t="s">
        <v>26</v>
      </c>
      <c r="H123">
        <v>1291</v>
      </c>
      <c r="I123" t="s">
        <v>20</v>
      </c>
      <c r="J123" t="str">
        <f t="shared" si="3"/>
        <v>Child</v>
      </c>
      <c r="K123" t="str">
        <f t="shared" si="4"/>
        <v>March</v>
      </c>
      <c r="L123">
        <f t="shared" si="5"/>
        <v>2024</v>
      </c>
    </row>
    <row r="124" spans="1:12" x14ac:dyDescent="0.25">
      <c r="A124" t="s">
        <v>154</v>
      </c>
      <c r="B124" s="1">
        <v>45377.799614641204</v>
      </c>
      <c r="C124">
        <v>24</v>
      </c>
      <c r="D124" t="s">
        <v>16</v>
      </c>
      <c r="E124" t="s">
        <v>17</v>
      </c>
      <c r="F124" t="s">
        <v>25</v>
      </c>
      <c r="G124" t="s">
        <v>40</v>
      </c>
      <c r="H124">
        <v>741</v>
      </c>
      <c r="I124" t="s">
        <v>14</v>
      </c>
      <c r="J124" t="str">
        <f t="shared" si="3"/>
        <v>Adult</v>
      </c>
      <c r="K124" t="str">
        <f t="shared" si="4"/>
        <v>March</v>
      </c>
      <c r="L124">
        <f t="shared" si="5"/>
        <v>2024</v>
      </c>
    </row>
    <row r="125" spans="1:12" x14ac:dyDescent="0.25">
      <c r="A125" t="s">
        <v>155</v>
      </c>
      <c r="B125" s="1">
        <v>45378.502890162039</v>
      </c>
      <c r="C125">
        <v>82</v>
      </c>
      <c r="D125" t="s">
        <v>10</v>
      </c>
      <c r="E125" t="s">
        <v>28</v>
      </c>
      <c r="F125" t="s">
        <v>50</v>
      </c>
      <c r="G125" t="s">
        <v>19</v>
      </c>
      <c r="H125">
        <v>1141</v>
      </c>
      <c r="I125" t="s">
        <v>20</v>
      </c>
      <c r="J125" t="str">
        <f t="shared" si="3"/>
        <v>Senior</v>
      </c>
      <c r="K125" t="str">
        <f t="shared" si="4"/>
        <v>March</v>
      </c>
      <c r="L125">
        <f t="shared" si="5"/>
        <v>2024</v>
      </c>
    </row>
    <row r="126" spans="1:12" x14ac:dyDescent="0.25">
      <c r="A126" t="s">
        <v>156</v>
      </c>
      <c r="B126" s="1">
        <v>45379.206165694442</v>
      </c>
      <c r="C126">
        <v>8</v>
      </c>
      <c r="D126" t="s">
        <v>10</v>
      </c>
      <c r="E126" t="s">
        <v>33</v>
      </c>
      <c r="F126" t="s">
        <v>50</v>
      </c>
      <c r="G126" t="s">
        <v>13</v>
      </c>
      <c r="H126">
        <v>454</v>
      </c>
      <c r="I126" t="s">
        <v>14</v>
      </c>
      <c r="J126" t="str">
        <f t="shared" si="3"/>
        <v>Child</v>
      </c>
      <c r="K126" t="str">
        <f t="shared" si="4"/>
        <v>March</v>
      </c>
      <c r="L126">
        <f t="shared" si="5"/>
        <v>2024</v>
      </c>
    </row>
    <row r="127" spans="1:12" x14ac:dyDescent="0.25">
      <c r="A127" t="s">
        <v>157</v>
      </c>
      <c r="B127" s="1">
        <v>45379.909441226853</v>
      </c>
      <c r="C127">
        <v>25</v>
      </c>
      <c r="D127" t="s">
        <v>16</v>
      </c>
      <c r="E127" t="s">
        <v>52</v>
      </c>
      <c r="F127" t="s">
        <v>25</v>
      </c>
      <c r="G127" t="s">
        <v>13</v>
      </c>
      <c r="H127">
        <v>177</v>
      </c>
      <c r="I127" t="s">
        <v>14</v>
      </c>
      <c r="J127" t="str">
        <f t="shared" si="3"/>
        <v>Adult</v>
      </c>
      <c r="K127" t="str">
        <f t="shared" si="4"/>
        <v>March</v>
      </c>
      <c r="L127">
        <f t="shared" si="5"/>
        <v>2024</v>
      </c>
    </row>
    <row r="128" spans="1:12" x14ac:dyDescent="0.25">
      <c r="A128" t="s">
        <v>158</v>
      </c>
      <c r="B128" s="1">
        <v>45380.612716759257</v>
      </c>
      <c r="C128">
        <v>75</v>
      </c>
      <c r="D128" t="s">
        <v>10</v>
      </c>
      <c r="E128" t="s">
        <v>52</v>
      </c>
      <c r="F128" t="s">
        <v>31</v>
      </c>
      <c r="G128" t="s">
        <v>19</v>
      </c>
      <c r="H128">
        <v>1273</v>
      </c>
      <c r="I128" t="s">
        <v>14</v>
      </c>
      <c r="J128" t="str">
        <f t="shared" si="3"/>
        <v>Senior</v>
      </c>
      <c r="K128" t="str">
        <f t="shared" si="4"/>
        <v>March</v>
      </c>
      <c r="L128">
        <f t="shared" si="5"/>
        <v>2024</v>
      </c>
    </row>
    <row r="129" spans="1:12" x14ac:dyDescent="0.25">
      <c r="A129" t="s">
        <v>159</v>
      </c>
      <c r="B129" s="1">
        <v>45381.315992291667</v>
      </c>
      <c r="C129">
        <v>21</v>
      </c>
      <c r="D129" t="s">
        <v>10</v>
      </c>
      <c r="E129" t="s">
        <v>22</v>
      </c>
      <c r="F129" t="s">
        <v>50</v>
      </c>
      <c r="G129" t="s">
        <v>19</v>
      </c>
      <c r="H129">
        <v>513</v>
      </c>
      <c r="I129" t="s">
        <v>14</v>
      </c>
      <c r="J129" t="str">
        <f t="shared" si="3"/>
        <v>Adult</v>
      </c>
      <c r="K129" t="str">
        <f t="shared" si="4"/>
        <v>March</v>
      </c>
      <c r="L129">
        <f t="shared" si="5"/>
        <v>2024</v>
      </c>
    </row>
    <row r="130" spans="1:12" x14ac:dyDescent="0.25">
      <c r="A130" t="s">
        <v>160</v>
      </c>
      <c r="B130" s="1">
        <v>45382.019267812502</v>
      </c>
      <c r="C130">
        <v>33</v>
      </c>
      <c r="D130" t="s">
        <v>10</v>
      </c>
      <c r="E130" t="s">
        <v>36</v>
      </c>
      <c r="F130" t="s">
        <v>31</v>
      </c>
      <c r="G130" t="s">
        <v>26</v>
      </c>
      <c r="H130">
        <v>1594</v>
      </c>
      <c r="I130" t="s">
        <v>14</v>
      </c>
      <c r="J130" t="str">
        <f t="shared" si="3"/>
        <v>Adult</v>
      </c>
      <c r="K130" t="str">
        <f t="shared" si="4"/>
        <v>March</v>
      </c>
      <c r="L130">
        <f t="shared" si="5"/>
        <v>2024</v>
      </c>
    </row>
    <row r="131" spans="1:12" x14ac:dyDescent="0.25">
      <c r="A131" t="s">
        <v>161</v>
      </c>
      <c r="B131" s="1">
        <v>45382.722543344906</v>
      </c>
      <c r="C131">
        <v>13</v>
      </c>
      <c r="D131" t="s">
        <v>16</v>
      </c>
      <c r="E131" t="s">
        <v>30</v>
      </c>
      <c r="F131" t="s">
        <v>34</v>
      </c>
      <c r="G131" t="s">
        <v>40</v>
      </c>
      <c r="H131">
        <v>2030</v>
      </c>
      <c r="I131" t="s">
        <v>20</v>
      </c>
      <c r="J131" t="str">
        <f t="shared" ref="J131:J194" si="6">IF(C131&lt;18,"Child",IF(C131&lt;=40,"Adult",IF(C131&lt;=60,"Middle Age","Senior")))</f>
        <v>Child</v>
      </c>
      <c r="K131" t="str">
        <f t="shared" ref="K131:K194" si="7">TEXT(B131,"mmmm")</f>
        <v>March</v>
      </c>
      <c r="L131">
        <f t="shared" ref="L131:L194" si="8">YEAR(B131)</f>
        <v>2024</v>
      </c>
    </row>
    <row r="132" spans="1:12" x14ac:dyDescent="0.25">
      <c r="A132" t="s">
        <v>162</v>
      </c>
      <c r="B132" s="1">
        <v>45383.425818877316</v>
      </c>
      <c r="C132">
        <v>66</v>
      </c>
      <c r="D132" t="s">
        <v>10</v>
      </c>
      <c r="E132" t="s">
        <v>28</v>
      </c>
      <c r="F132" t="s">
        <v>50</v>
      </c>
      <c r="G132" t="s">
        <v>19</v>
      </c>
      <c r="H132">
        <v>362</v>
      </c>
      <c r="I132" t="s">
        <v>20</v>
      </c>
      <c r="J132" t="str">
        <f t="shared" si="6"/>
        <v>Senior</v>
      </c>
      <c r="K132" t="str">
        <f t="shared" si="7"/>
        <v>April</v>
      </c>
      <c r="L132">
        <f t="shared" si="8"/>
        <v>2024</v>
      </c>
    </row>
    <row r="133" spans="1:12" x14ac:dyDescent="0.25">
      <c r="A133" t="s">
        <v>163</v>
      </c>
      <c r="B133" s="1">
        <v>45384.12909440972</v>
      </c>
      <c r="C133">
        <v>61</v>
      </c>
      <c r="D133" t="s">
        <v>16</v>
      </c>
      <c r="E133" t="s">
        <v>28</v>
      </c>
      <c r="F133" t="s">
        <v>23</v>
      </c>
      <c r="G133" t="s">
        <v>13</v>
      </c>
      <c r="H133">
        <v>2144</v>
      </c>
      <c r="I133" t="s">
        <v>14</v>
      </c>
      <c r="J133" t="str">
        <f t="shared" si="6"/>
        <v>Senior</v>
      </c>
      <c r="K133" t="str">
        <f t="shared" si="7"/>
        <v>April</v>
      </c>
      <c r="L133">
        <f t="shared" si="8"/>
        <v>2024</v>
      </c>
    </row>
    <row r="134" spans="1:12" x14ac:dyDescent="0.25">
      <c r="A134" t="s">
        <v>164</v>
      </c>
      <c r="B134" s="1">
        <v>45384.832369942131</v>
      </c>
      <c r="C134">
        <v>25</v>
      </c>
      <c r="D134" t="s">
        <v>10</v>
      </c>
      <c r="E134" t="s">
        <v>33</v>
      </c>
      <c r="F134" t="s">
        <v>50</v>
      </c>
      <c r="G134" t="s">
        <v>19</v>
      </c>
      <c r="H134">
        <v>2030</v>
      </c>
      <c r="I134" t="s">
        <v>20</v>
      </c>
      <c r="J134" t="str">
        <f t="shared" si="6"/>
        <v>Adult</v>
      </c>
      <c r="K134" t="str">
        <f t="shared" si="7"/>
        <v>April</v>
      </c>
      <c r="L134">
        <f t="shared" si="8"/>
        <v>2024</v>
      </c>
    </row>
    <row r="135" spans="1:12" x14ac:dyDescent="0.25">
      <c r="A135" t="s">
        <v>165</v>
      </c>
      <c r="B135" s="1">
        <v>45385.535645462965</v>
      </c>
      <c r="C135">
        <v>83</v>
      </c>
      <c r="D135" t="s">
        <v>10</v>
      </c>
      <c r="E135" t="s">
        <v>22</v>
      </c>
      <c r="F135" t="s">
        <v>23</v>
      </c>
      <c r="G135" t="s">
        <v>19</v>
      </c>
      <c r="H135">
        <v>883</v>
      </c>
      <c r="I135" t="s">
        <v>20</v>
      </c>
      <c r="J135" t="str">
        <f t="shared" si="6"/>
        <v>Senior</v>
      </c>
      <c r="K135" t="str">
        <f t="shared" si="7"/>
        <v>April</v>
      </c>
      <c r="L135">
        <f t="shared" si="8"/>
        <v>2024</v>
      </c>
    </row>
    <row r="136" spans="1:12" x14ac:dyDescent="0.25">
      <c r="A136" t="s">
        <v>166</v>
      </c>
      <c r="B136" s="1">
        <v>45386.238920995369</v>
      </c>
      <c r="C136">
        <v>3</v>
      </c>
      <c r="D136" t="s">
        <v>10</v>
      </c>
      <c r="E136" t="s">
        <v>28</v>
      </c>
      <c r="F136" t="s">
        <v>18</v>
      </c>
      <c r="G136" t="s">
        <v>13</v>
      </c>
      <c r="H136">
        <v>2983</v>
      </c>
      <c r="I136" t="s">
        <v>14</v>
      </c>
      <c r="J136" t="str">
        <f t="shared" si="6"/>
        <v>Child</v>
      </c>
      <c r="K136" t="str">
        <f t="shared" si="7"/>
        <v>April</v>
      </c>
      <c r="L136">
        <f t="shared" si="8"/>
        <v>2024</v>
      </c>
    </row>
    <row r="137" spans="1:12" x14ac:dyDescent="0.25">
      <c r="A137" t="s">
        <v>167</v>
      </c>
      <c r="B137" s="1">
        <v>45386.94219652778</v>
      </c>
      <c r="C137">
        <v>11</v>
      </c>
      <c r="D137" t="s">
        <v>16</v>
      </c>
      <c r="E137" t="s">
        <v>30</v>
      </c>
      <c r="F137" t="s">
        <v>25</v>
      </c>
      <c r="G137" t="s">
        <v>19</v>
      </c>
      <c r="H137">
        <v>1863</v>
      </c>
      <c r="I137" t="s">
        <v>20</v>
      </c>
      <c r="J137" t="str">
        <f t="shared" si="6"/>
        <v>Child</v>
      </c>
      <c r="K137" t="str">
        <f t="shared" si="7"/>
        <v>April</v>
      </c>
      <c r="L137">
        <f t="shared" si="8"/>
        <v>2024</v>
      </c>
    </row>
    <row r="138" spans="1:12" x14ac:dyDescent="0.25">
      <c r="A138" t="s">
        <v>168</v>
      </c>
      <c r="B138" s="1">
        <v>45387.645472060183</v>
      </c>
      <c r="C138">
        <v>55</v>
      </c>
      <c r="D138" t="s">
        <v>16</v>
      </c>
      <c r="E138" t="s">
        <v>17</v>
      </c>
      <c r="F138" t="s">
        <v>18</v>
      </c>
      <c r="G138" t="s">
        <v>40</v>
      </c>
      <c r="H138">
        <v>1855</v>
      </c>
      <c r="I138" t="s">
        <v>20</v>
      </c>
      <c r="J138" t="str">
        <f t="shared" si="6"/>
        <v>Middle Age</v>
      </c>
      <c r="K138" t="str">
        <f t="shared" si="7"/>
        <v>April</v>
      </c>
      <c r="L138">
        <f t="shared" si="8"/>
        <v>2024</v>
      </c>
    </row>
    <row r="139" spans="1:12" x14ac:dyDescent="0.25">
      <c r="A139" t="s">
        <v>169</v>
      </c>
      <c r="B139" s="1">
        <v>45388.348747581018</v>
      </c>
      <c r="C139">
        <v>83</v>
      </c>
      <c r="D139" t="s">
        <v>16</v>
      </c>
      <c r="E139" t="s">
        <v>22</v>
      </c>
      <c r="F139" t="s">
        <v>50</v>
      </c>
      <c r="G139" t="s">
        <v>26</v>
      </c>
      <c r="H139">
        <v>456</v>
      </c>
      <c r="I139" t="s">
        <v>20</v>
      </c>
      <c r="J139" t="str">
        <f t="shared" si="6"/>
        <v>Senior</v>
      </c>
      <c r="K139" t="str">
        <f t="shared" si="7"/>
        <v>April</v>
      </c>
      <c r="L139">
        <f t="shared" si="8"/>
        <v>2024</v>
      </c>
    </row>
    <row r="140" spans="1:12" x14ac:dyDescent="0.25">
      <c r="A140" t="s">
        <v>170</v>
      </c>
      <c r="B140" s="1">
        <v>45389.052023113429</v>
      </c>
      <c r="C140">
        <v>87</v>
      </c>
      <c r="D140" t="s">
        <v>16</v>
      </c>
      <c r="E140" t="s">
        <v>17</v>
      </c>
      <c r="F140" t="s">
        <v>25</v>
      </c>
      <c r="G140" t="s">
        <v>19</v>
      </c>
      <c r="H140">
        <v>1869</v>
      </c>
      <c r="I140" t="s">
        <v>20</v>
      </c>
      <c r="J140" t="str">
        <f t="shared" si="6"/>
        <v>Senior</v>
      </c>
      <c r="K140" t="str">
        <f t="shared" si="7"/>
        <v>April</v>
      </c>
      <c r="L140">
        <f t="shared" si="8"/>
        <v>2024</v>
      </c>
    </row>
    <row r="141" spans="1:12" x14ac:dyDescent="0.25">
      <c r="A141" t="s">
        <v>171</v>
      </c>
      <c r="B141" s="1">
        <v>45389.755298645832</v>
      </c>
      <c r="C141">
        <v>71</v>
      </c>
      <c r="D141" t="s">
        <v>10</v>
      </c>
      <c r="E141" t="s">
        <v>22</v>
      </c>
      <c r="F141" t="s">
        <v>25</v>
      </c>
      <c r="G141" t="s">
        <v>19</v>
      </c>
      <c r="H141">
        <v>459</v>
      </c>
      <c r="I141" t="s">
        <v>20</v>
      </c>
      <c r="J141" t="str">
        <f t="shared" si="6"/>
        <v>Senior</v>
      </c>
      <c r="K141" t="str">
        <f t="shared" si="7"/>
        <v>April</v>
      </c>
      <c r="L141">
        <f t="shared" si="8"/>
        <v>2024</v>
      </c>
    </row>
    <row r="142" spans="1:12" x14ac:dyDescent="0.25">
      <c r="A142" t="s">
        <v>172</v>
      </c>
      <c r="B142" s="1">
        <v>45390.458574178243</v>
      </c>
      <c r="C142">
        <v>67</v>
      </c>
      <c r="D142" t="s">
        <v>10</v>
      </c>
      <c r="E142" t="s">
        <v>11</v>
      </c>
      <c r="F142" t="s">
        <v>34</v>
      </c>
      <c r="G142" t="s">
        <v>40</v>
      </c>
      <c r="H142">
        <v>1961</v>
      </c>
      <c r="I142" t="s">
        <v>20</v>
      </c>
      <c r="J142" t="str">
        <f t="shared" si="6"/>
        <v>Senior</v>
      </c>
      <c r="K142" t="str">
        <f t="shared" si="7"/>
        <v>April</v>
      </c>
      <c r="L142">
        <f t="shared" si="8"/>
        <v>2024</v>
      </c>
    </row>
    <row r="143" spans="1:12" x14ac:dyDescent="0.25">
      <c r="A143" t="s">
        <v>173</v>
      </c>
      <c r="B143" s="1">
        <v>45391.161849710646</v>
      </c>
      <c r="C143">
        <v>72</v>
      </c>
      <c r="D143" t="s">
        <v>10</v>
      </c>
      <c r="E143" t="s">
        <v>22</v>
      </c>
      <c r="F143" t="s">
        <v>50</v>
      </c>
      <c r="G143" t="s">
        <v>40</v>
      </c>
      <c r="H143">
        <v>2499</v>
      </c>
      <c r="I143" t="s">
        <v>20</v>
      </c>
      <c r="J143" t="str">
        <f t="shared" si="6"/>
        <v>Senior</v>
      </c>
      <c r="K143" t="str">
        <f t="shared" si="7"/>
        <v>April</v>
      </c>
      <c r="L143">
        <f t="shared" si="8"/>
        <v>2024</v>
      </c>
    </row>
    <row r="144" spans="1:12" x14ac:dyDescent="0.25">
      <c r="A144" t="s">
        <v>174</v>
      </c>
      <c r="B144" s="1">
        <v>45391.865125231481</v>
      </c>
      <c r="C144">
        <v>49</v>
      </c>
      <c r="D144" t="s">
        <v>16</v>
      </c>
      <c r="E144" t="s">
        <v>30</v>
      </c>
      <c r="F144" t="s">
        <v>50</v>
      </c>
      <c r="G144" t="s">
        <v>19</v>
      </c>
      <c r="H144">
        <v>533</v>
      </c>
      <c r="I144" t="s">
        <v>14</v>
      </c>
      <c r="J144" t="str">
        <f t="shared" si="6"/>
        <v>Middle Age</v>
      </c>
      <c r="K144" t="str">
        <f t="shared" si="7"/>
        <v>April</v>
      </c>
      <c r="L144">
        <f t="shared" si="8"/>
        <v>2024</v>
      </c>
    </row>
    <row r="145" spans="1:12" x14ac:dyDescent="0.25">
      <c r="A145" t="s">
        <v>175</v>
      </c>
      <c r="B145" s="1">
        <v>45392.568400763892</v>
      </c>
      <c r="C145">
        <v>55</v>
      </c>
      <c r="D145" t="s">
        <v>10</v>
      </c>
      <c r="E145" t="s">
        <v>28</v>
      </c>
      <c r="F145" t="s">
        <v>34</v>
      </c>
      <c r="G145" t="s">
        <v>19</v>
      </c>
      <c r="H145">
        <v>1746</v>
      </c>
      <c r="I145" t="s">
        <v>14</v>
      </c>
      <c r="J145" t="str">
        <f t="shared" si="6"/>
        <v>Middle Age</v>
      </c>
      <c r="K145" t="str">
        <f t="shared" si="7"/>
        <v>April</v>
      </c>
      <c r="L145">
        <f t="shared" si="8"/>
        <v>2024</v>
      </c>
    </row>
    <row r="146" spans="1:12" x14ac:dyDescent="0.25">
      <c r="A146" t="s">
        <v>176</v>
      </c>
      <c r="B146" s="1">
        <v>45393.271676296295</v>
      </c>
      <c r="C146">
        <v>16</v>
      </c>
      <c r="D146" t="s">
        <v>16</v>
      </c>
      <c r="E146" t="s">
        <v>28</v>
      </c>
      <c r="F146" t="s">
        <v>23</v>
      </c>
      <c r="G146" t="s">
        <v>19</v>
      </c>
      <c r="H146">
        <v>2319</v>
      </c>
      <c r="I146" t="s">
        <v>20</v>
      </c>
      <c r="J146" t="str">
        <f t="shared" si="6"/>
        <v>Child</v>
      </c>
      <c r="K146" t="str">
        <f t="shared" si="7"/>
        <v>April</v>
      </c>
      <c r="L146">
        <f t="shared" si="8"/>
        <v>2024</v>
      </c>
    </row>
    <row r="147" spans="1:12" x14ac:dyDescent="0.25">
      <c r="A147" t="s">
        <v>177</v>
      </c>
      <c r="B147" s="1">
        <v>45393.974951828706</v>
      </c>
      <c r="C147">
        <v>6</v>
      </c>
      <c r="D147" t="s">
        <v>10</v>
      </c>
      <c r="E147" t="s">
        <v>11</v>
      </c>
      <c r="F147" t="s">
        <v>50</v>
      </c>
      <c r="G147" t="s">
        <v>26</v>
      </c>
      <c r="H147">
        <v>1690</v>
      </c>
      <c r="I147" t="s">
        <v>20</v>
      </c>
      <c r="J147" t="str">
        <f t="shared" si="6"/>
        <v>Child</v>
      </c>
      <c r="K147" t="str">
        <f t="shared" si="7"/>
        <v>April</v>
      </c>
      <c r="L147">
        <f t="shared" si="8"/>
        <v>2024</v>
      </c>
    </row>
    <row r="148" spans="1:12" x14ac:dyDescent="0.25">
      <c r="A148" t="s">
        <v>178</v>
      </c>
      <c r="B148" s="1">
        <v>45394.678227349534</v>
      </c>
      <c r="C148">
        <v>18</v>
      </c>
      <c r="D148" t="s">
        <v>16</v>
      </c>
      <c r="E148" t="s">
        <v>11</v>
      </c>
      <c r="F148" t="s">
        <v>18</v>
      </c>
      <c r="G148" t="s">
        <v>26</v>
      </c>
      <c r="H148">
        <v>320</v>
      </c>
      <c r="I148" t="s">
        <v>14</v>
      </c>
      <c r="J148" t="str">
        <f t="shared" si="6"/>
        <v>Adult</v>
      </c>
      <c r="K148" t="str">
        <f t="shared" si="7"/>
        <v>April</v>
      </c>
      <c r="L148">
        <f t="shared" si="8"/>
        <v>2024</v>
      </c>
    </row>
    <row r="149" spans="1:12" x14ac:dyDescent="0.25">
      <c r="A149" t="s">
        <v>179</v>
      </c>
      <c r="B149" s="1">
        <v>45395.381502881944</v>
      </c>
      <c r="C149">
        <v>43</v>
      </c>
      <c r="D149" t="s">
        <v>16</v>
      </c>
      <c r="E149" t="s">
        <v>36</v>
      </c>
      <c r="F149" t="s">
        <v>25</v>
      </c>
      <c r="G149" t="s">
        <v>26</v>
      </c>
      <c r="H149">
        <v>1031</v>
      </c>
      <c r="I149" t="s">
        <v>14</v>
      </c>
      <c r="J149" t="str">
        <f t="shared" si="6"/>
        <v>Middle Age</v>
      </c>
      <c r="K149" t="str">
        <f t="shared" si="7"/>
        <v>April</v>
      </c>
      <c r="L149">
        <f t="shared" si="8"/>
        <v>2024</v>
      </c>
    </row>
    <row r="150" spans="1:12" x14ac:dyDescent="0.25">
      <c r="A150" t="s">
        <v>180</v>
      </c>
      <c r="B150" s="1">
        <v>45396.084778414355</v>
      </c>
      <c r="C150">
        <v>21</v>
      </c>
      <c r="D150" t="s">
        <v>10</v>
      </c>
      <c r="E150" t="s">
        <v>36</v>
      </c>
      <c r="F150" t="s">
        <v>25</v>
      </c>
      <c r="G150" t="s">
        <v>19</v>
      </c>
      <c r="H150">
        <v>1126</v>
      </c>
      <c r="I150" t="s">
        <v>20</v>
      </c>
      <c r="J150" t="str">
        <f t="shared" si="6"/>
        <v>Adult</v>
      </c>
      <c r="K150" t="str">
        <f t="shared" si="7"/>
        <v>April</v>
      </c>
      <c r="L150">
        <f t="shared" si="8"/>
        <v>2024</v>
      </c>
    </row>
    <row r="151" spans="1:12" x14ac:dyDescent="0.25">
      <c r="A151" t="s">
        <v>181</v>
      </c>
      <c r="B151" s="1">
        <v>45396.788053946759</v>
      </c>
      <c r="C151">
        <v>49</v>
      </c>
      <c r="D151" t="s">
        <v>16</v>
      </c>
      <c r="E151" t="s">
        <v>17</v>
      </c>
      <c r="F151" t="s">
        <v>34</v>
      </c>
      <c r="G151" t="s">
        <v>40</v>
      </c>
      <c r="H151">
        <v>1995</v>
      </c>
      <c r="I151" t="s">
        <v>14</v>
      </c>
      <c r="J151" t="str">
        <f t="shared" si="6"/>
        <v>Middle Age</v>
      </c>
      <c r="K151" t="str">
        <f t="shared" si="7"/>
        <v>April</v>
      </c>
      <c r="L151">
        <f t="shared" si="8"/>
        <v>2024</v>
      </c>
    </row>
    <row r="152" spans="1:12" x14ac:dyDescent="0.25">
      <c r="A152" t="s">
        <v>182</v>
      </c>
      <c r="B152" s="1">
        <v>45397.49132947917</v>
      </c>
      <c r="C152">
        <v>23</v>
      </c>
      <c r="D152" t="s">
        <v>10</v>
      </c>
      <c r="E152" t="s">
        <v>22</v>
      </c>
      <c r="F152" t="s">
        <v>31</v>
      </c>
      <c r="G152" t="s">
        <v>26</v>
      </c>
      <c r="H152">
        <v>1518</v>
      </c>
      <c r="I152" t="s">
        <v>14</v>
      </c>
      <c r="J152" t="str">
        <f t="shared" si="6"/>
        <v>Adult</v>
      </c>
      <c r="K152" t="str">
        <f t="shared" si="7"/>
        <v>April</v>
      </c>
      <c r="L152">
        <f t="shared" si="8"/>
        <v>2024</v>
      </c>
    </row>
    <row r="153" spans="1:12" x14ac:dyDescent="0.25">
      <c r="A153" t="s">
        <v>183</v>
      </c>
      <c r="B153" s="1">
        <v>45398.194604999997</v>
      </c>
      <c r="C153">
        <v>14</v>
      </c>
      <c r="D153" t="s">
        <v>16</v>
      </c>
      <c r="E153" t="s">
        <v>52</v>
      </c>
      <c r="F153" t="s">
        <v>50</v>
      </c>
      <c r="G153" t="s">
        <v>19</v>
      </c>
      <c r="H153">
        <v>1413</v>
      </c>
      <c r="I153" t="s">
        <v>20</v>
      </c>
      <c r="J153" t="str">
        <f t="shared" si="6"/>
        <v>Child</v>
      </c>
      <c r="K153" t="str">
        <f t="shared" si="7"/>
        <v>April</v>
      </c>
      <c r="L153">
        <f t="shared" si="8"/>
        <v>2024</v>
      </c>
    </row>
    <row r="154" spans="1:12" x14ac:dyDescent="0.25">
      <c r="A154" t="s">
        <v>184</v>
      </c>
      <c r="B154" s="1">
        <v>45398.897880532408</v>
      </c>
      <c r="C154">
        <v>54</v>
      </c>
      <c r="D154" t="s">
        <v>10</v>
      </c>
      <c r="E154" t="s">
        <v>28</v>
      </c>
      <c r="F154" t="s">
        <v>50</v>
      </c>
      <c r="G154" t="s">
        <v>19</v>
      </c>
      <c r="H154">
        <v>1832</v>
      </c>
      <c r="I154" t="s">
        <v>20</v>
      </c>
      <c r="J154" t="str">
        <f t="shared" si="6"/>
        <v>Middle Age</v>
      </c>
      <c r="K154" t="str">
        <f t="shared" si="7"/>
        <v>April</v>
      </c>
      <c r="L154">
        <f t="shared" si="8"/>
        <v>2024</v>
      </c>
    </row>
    <row r="155" spans="1:12" x14ac:dyDescent="0.25">
      <c r="A155" t="s">
        <v>185</v>
      </c>
      <c r="B155" s="1">
        <v>45399.601156064811</v>
      </c>
      <c r="C155">
        <v>85</v>
      </c>
      <c r="D155" t="s">
        <v>10</v>
      </c>
      <c r="E155" t="s">
        <v>52</v>
      </c>
      <c r="F155" t="s">
        <v>25</v>
      </c>
      <c r="G155" t="s">
        <v>26</v>
      </c>
      <c r="H155">
        <v>2550</v>
      </c>
      <c r="I155" t="s">
        <v>14</v>
      </c>
      <c r="J155" t="str">
        <f t="shared" si="6"/>
        <v>Senior</v>
      </c>
      <c r="K155" t="str">
        <f t="shared" si="7"/>
        <v>April</v>
      </c>
      <c r="L155">
        <f t="shared" si="8"/>
        <v>2024</v>
      </c>
    </row>
    <row r="156" spans="1:12" x14ac:dyDescent="0.25">
      <c r="A156" t="s">
        <v>186</v>
      </c>
      <c r="B156" s="1">
        <v>45400.304431597222</v>
      </c>
      <c r="C156">
        <v>11</v>
      </c>
      <c r="D156" t="s">
        <v>16</v>
      </c>
      <c r="E156" t="s">
        <v>36</v>
      </c>
      <c r="F156" t="s">
        <v>31</v>
      </c>
      <c r="G156" t="s">
        <v>19</v>
      </c>
      <c r="H156">
        <v>2334</v>
      </c>
      <c r="I156" t="s">
        <v>20</v>
      </c>
      <c r="J156" t="str">
        <f t="shared" si="6"/>
        <v>Child</v>
      </c>
      <c r="K156" t="str">
        <f t="shared" si="7"/>
        <v>April</v>
      </c>
      <c r="L156">
        <f t="shared" si="8"/>
        <v>2024</v>
      </c>
    </row>
    <row r="157" spans="1:12" x14ac:dyDescent="0.25">
      <c r="A157" t="s">
        <v>187</v>
      </c>
      <c r="B157" s="1">
        <v>45401.007707118057</v>
      </c>
      <c r="C157">
        <v>56</v>
      </c>
      <c r="D157" t="s">
        <v>16</v>
      </c>
      <c r="E157" t="s">
        <v>11</v>
      </c>
      <c r="F157" t="s">
        <v>34</v>
      </c>
      <c r="G157" t="s">
        <v>26</v>
      </c>
      <c r="H157">
        <v>2827</v>
      </c>
      <c r="I157" t="s">
        <v>20</v>
      </c>
      <c r="J157" t="str">
        <f t="shared" si="6"/>
        <v>Middle Age</v>
      </c>
      <c r="K157" t="str">
        <f t="shared" si="7"/>
        <v>April</v>
      </c>
      <c r="L157">
        <f t="shared" si="8"/>
        <v>2024</v>
      </c>
    </row>
    <row r="158" spans="1:12" x14ac:dyDescent="0.25">
      <c r="A158" t="s">
        <v>188</v>
      </c>
      <c r="B158" s="1">
        <v>45401.71098265046</v>
      </c>
      <c r="C158">
        <v>62</v>
      </c>
      <c r="D158" t="s">
        <v>10</v>
      </c>
      <c r="E158" t="s">
        <v>22</v>
      </c>
      <c r="F158" t="s">
        <v>50</v>
      </c>
      <c r="G158" t="s">
        <v>13</v>
      </c>
      <c r="H158">
        <v>2965</v>
      </c>
      <c r="I158" t="s">
        <v>14</v>
      </c>
      <c r="J158" t="str">
        <f t="shared" si="6"/>
        <v>Senior</v>
      </c>
      <c r="K158" t="str">
        <f t="shared" si="7"/>
        <v>April</v>
      </c>
      <c r="L158">
        <f t="shared" si="8"/>
        <v>2024</v>
      </c>
    </row>
    <row r="159" spans="1:12" x14ac:dyDescent="0.25">
      <c r="A159" t="s">
        <v>189</v>
      </c>
      <c r="B159" s="1">
        <v>45402.414258182871</v>
      </c>
      <c r="C159">
        <v>57</v>
      </c>
      <c r="D159" t="s">
        <v>16</v>
      </c>
      <c r="E159" t="s">
        <v>33</v>
      </c>
      <c r="F159" t="s">
        <v>31</v>
      </c>
      <c r="G159" t="s">
        <v>19</v>
      </c>
      <c r="H159">
        <v>2124</v>
      </c>
      <c r="I159" t="s">
        <v>20</v>
      </c>
      <c r="J159" t="str">
        <f t="shared" si="6"/>
        <v>Middle Age</v>
      </c>
      <c r="K159" t="str">
        <f t="shared" si="7"/>
        <v>April</v>
      </c>
      <c r="L159">
        <f t="shared" si="8"/>
        <v>2024</v>
      </c>
    </row>
    <row r="160" spans="1:12" x14ac:dyDescent="0.25">
      <c r="A160" t="s">
        <v>190</v>
      </c>
      <c r="B160" s="1">
        <v>45403.117533715274</v>
      </c>
      <c r="C160">
        <v>22</v>
      </c>
      <c r="D160" t="s">
        <v>10</v>
      </c>
      <c r="E160" t="s">
        <v>17</v>
      </c>
      <c r="F160" t="s">
        <v>25</v>
      </c>
      <c r="G160" t="s">
        <v>13</v>
      </c>
      <c r="H160">
        <v>2815</v>
      </c>
      <c r="I160" t="s">
        <v>14</v>
      </c>
      <c r="J160" t="str">
        <f t="shared" si="6"/>
        <v>Adult</v>
      </c>
      <c r="K160" t="str">
        <f t="shared" si="7"/>
        <v>April</v>
      </c>
      <c r="L160">
        <f t="shared" si="8"/>
        <v>2024</v>
      </c>
    </row>
    <row r="161" spans="1:12" x14ac:dyDescent="0.25">
      <c r="A161" t="s">
        <v>191</v>
      </c>
      <c r="B161" s="1">
        <v>45403.820809247685</v>
      </c>
      <c r="C161">
        <v>84</v>
      </c>
      <c r="D161" t="s">
        <v>10</v>
      </c>
      <c r="E161" t="s">
        <v>17</v>
      </c>
      <c r="F161" t="s">
        <v>18</v>
      </c>
      <c r="G161" t="s">
        <v>40</v>
      </c>
      <c r="H161">
        <v>1355</v>
      </c>
      <c r="I161" t="s">
        <v>14</v>
      </c>
      <c r="J161" t="str">
        <f t="shared" si="6"/>
        <v>Senior</v>
      </c>
      <c r="K161" t="str">
        <f t="shared" si="7"/>
        <v>April</v>
      </c>
      <c r="L161">
        <f t="shared" si="8"/>
        <v>2024</v>
      </c>
    </row>
    <row r="162" spans="1:12" x14ac:dyDescent="0.25">
      <c r="A162" t="s">
        <v>192</v>
      </c>
      <c r="B162" s="1">
        <v>45404.52408476852</v>
      </c>
      <c r="C162">
        <v>26</v>
      </c>
      <c r="D162" t="s">
        <v>16</v>
      </c>
      <c r="E162" t="s">
        <v>30</v>
      </c>
      <c r="F162" t="s">
        <v>31</v>
      </c>
      <c r="G162" t="s">
        <v>13</v>
      </c>
      <c r="H162">
        <v>2112</v>
      </c>
      <c r="I162" t="s">
        <v>14</v>
      </c>
      <c r="J162" t="str">
        <f t="shared" si="6"/>
        <v>Adult</v>
      </c>
      <c r="K162" t="str">
        <f t="shared" si="7"/>
        <v>April</v>
      </c>
      <c r="L162">
        <f t="shared" si="8"/>
        <v>2024</v>
      </c>
    </row>
    <row r="163" spans="1:12" x14ac:dyDescent="0.25">
      <c r="A163" t="s">
        <v>193</v>
      </c>
      <c r="B163" s="1">
        <v>45405.227360300923</v>
      </c>
      <c r="C163">
        <v>15</v>
      </c>
      <c r="D163" t="s">
        <v>10</v>
      </c>
      <c r="E163" t="s">
        <v>52</v>
      </c>
      <c r="F163" t="s">
        <v>12</v>
      </c>
      <c r="G163" t="s">
        <v>19</v>
      </c>
      <c r="H163">
        <v>1020</v>
      </c>
      <c r="I163" t="s">
        <v>14</v>
      </c>
      <c r="J163" t="str">
        <f t="shared" si="6"/>
        <v>Child</v>
      </c>
      <c r="K163" t="str">
        <f t="shared" si="7"/>
        <v>April</v>
      </c>
      <c r="L163">
        <f t="shared" si="8"/>
        <v>2024</v>
      </c>
    </row>
    <row r="164" spans="1:12" x14ac:dyDescent="0.25">
      <c r="A164" t="s">
        <v>194</v>
      </c>
      <c r="B164" s="1">
        <v>45405.930635833334</v>
      </c>
      <c r="C164">
        <v>14</v>
      </c>
      <c r="D164" t="s">
        <v>10</v>
      </c>
      <c r="E164" t="s">
        <v>11</v>
      </c>
      <c r="F164" t="s">
        <v>34</v>
      </c>
      <c r="G164" t="s">
        <v>40</v>
      </c>
      <c r="H164">
        <v>1021</v>
      </c>
      <c r="I164" t="s">
        <v>20</v>
      </c>
      <c r="J164" t="str">
        <f t="shared" si="6"/>
        <v>Child</v>
      </c>
      <c r="K164" t="str">
        <f t="shared" si="7"/>
        <v>April</v>
      </c>
      <c r="L164">
        <f t="shared" si="8"/>
        <v>2024</v>
      </c>
    </row>
    <row r="165" spans="1:12" x14ac:dyDescent="0.25">
      <c r="A165" t="s">
        <v>195</v>
      </c>
      <c r="B165" s="1">
        <v>45406.633911365738</v>
      </c>
      <c r="C165">
        <v>85</v>
      </c>
      <c r="D165" t="s">
        <v>16</v>
      </c>
      <c r="E165" t="s">
        <v>36</v>
      </c>
      <c r="F165" t="s">
        <v>34</v>
      </c>
      <c r="G165" t="s">
        <v>40</v>
      </c>
      <c r="H165">
        <v>2373</v>
      </c>
      <c r="I165" t="s">
        <v>20</v>
      </c>
      <c r="J165" t="str">
        <f t="shared" si="6"/>
        <v>Senior</v>
      </c>
      <c r="K165" t="str">
        <f t="shared" si="7"/>
        <v>April</v>
      </c>
      <c r="L165">
        <f t="shared" si="8"/>
        <v>2024</v>
      </c>
    </row>
    <row r="166" spans="1:12" x14ac:dyDescent="0.25">
      <c r="A166" t="s">
        <v>196</v>
      </c>
      <c r="B166" s="1">
        <v>45407.337186886572</v>
      </c>
      <c r="C166">
        <v>44</v>
      </c>
      <c r="D166" t="s">
        <v>10</v>
      </c>
      <c r="E166" t="s">
        <v>52</v>
      </c>
      <c r="F166" t="s">
        <v>34</v>
      </c>
      <c r="G166" t="s">
        <v>26</v>
      </c>
      <c r="H166">
        <v>699</v>
      </c>
      <c r="I166" t="s">
        <v>14</v>
      </c>
      <c r="J166" t="str">
        <f t="shared" si="6"/>
        <v>Middle Age</v>
      </c>
      <c r="K166" t="str">
        <f t="shared" si="7"/>
        <v>April</v>
      </c>
      <c r="L166">
        <f t="shared" si="8"/>
        <v>2024</v>
      </c>
    </row>
    <row r="167" spans="1:12" x14ac:dyDescent="0.25">
      <c r="A167" t="s">
        <v>197</v>
      </c>
      <c r="B167" s="1">
        <v>45408.040462418983</v>
      </c>
      <c r="C167">
        <v>7</v>
      </c>
      <c r="D167" t="s">
        <v>16</v>
      </c>
      <c r="E167" t="s">
        <v>28</v>
      </c>
      <c r="F167" t="s">
        <v>25</v>
      </c>
      <c r="G167" t="s">
        <v>19</v>
      </c>
      <c r="H167">
        <v>2425</v>
      </c>
      <c r="I167" t="s">
        <v>20</v>
      </c>
      <c r="J167" t="str">
        <f t="shared" si="6"/>
        <v>Child</v>
      </c>
      <c r="K167" t="str">
        <f t="shared" si="7"/>
        <v>April</v>
      </c>
      <c r="L167">
        <f t="shared" si="8"/>
        <v>2024</v>
      </c>
    </row>
    <row r="168" spans="1:12" x14ac:dyDescent="0.25">
      <c r="A168" t="s">
        <v>198</v>
      </c>
      <c r="B168" s="1">
        <v>45408.743737951387</v>
      </c>
      <c r="C168">
        <v>78</v>
      </c>
      <c r="D168" t="s">
        <v>10</v>
      </c>
      <c r="E168" t="s">
        <v>33</v>
      </c>
      <c r="F168" t="s">
        <v>18</v>
      </c>
      <c r="G168" t="s">
        <v>26</v>
      </c>
      <c r="H168">
        <v>2791</v>
      </c>
      <c r="I168" t="s">
        <v>20</v>
      </c>
      <c r="J168" t="str">
        <f t="shared" si="6"/>
        <v>Senior</v>
      </c>
      <c r="K168" t="str">
        <f t="shared" si="7"/>
        <v>April</v>
      </c>
      <c r="L168">
        <f t="shared" si="8"/>
        <v>2024</v>
      </c>
    </row>
    <row r="169" spans="1:12" x14ac:dyDescent="0.25">
      <c r="A169" t="s">
        <v>199</v>
      </c>
      <c r="B169" s="1">
        <v>45409.447013483797</v>
      </c>
      <c r="C169">
        <v>57</v>
      </c>
      <c r="D169" t="s">
        <v>16</v>
      </c>
      <c r="E169" t="s">
        <v>30</v>
      </c>
      <c r="F169" t="s">
        <v>50</v>
      </c>
      <c r="G169" t="s">
        <v>40</v>
      </c>
      <c r="H169">
        <v>2330</v>
      </c>
      <c r="I169" t="s">
        <v>14</v>
      </c>
      <c r="J169" t="str">
        <f t="shared" si="6"/>
        <v>Middle Age</v>
      </c>
      <c r="K169" t="str">
        <f t="shared" si="7"/>
        <v>April</v>
      </c>
      <c r="L169">
        <f t="shared" si="8"/>
        <v>2024</v>
      </c>
    </row>
    <row r="170" spans="1:12" x14ac:dyDescent="0.25">
      <c r="A170" t="s">
        <v>200</v>
      </c>
      <c r="B170" s="1">
        <v>45410.150289016201</v>
      </c>
      <c r="C170">
        <v>60</v>
      </c>
      <c r="D170" t="s">
        <v>10</v>
      </c>
      <c r="E170" t="s">
        <v>52</v>
      </c>
      <c r="F170" t="s">
        <v>25</v>
      </c>
      <c r="G170" t="s">
        <v>19</v>
      </c>
      <c r="H170">
        <v>1652</v>
      </c>
      <c r="I170" t="s">
        <v>14</v>
      </c>
      <c r="J170" t="str">
        <f t="shared" si="6"/>
        <v>Middle Age</v>
      </c>
      <c r="K170" t="str">
        <f t="shared" si="7"/>
        <v>April</v>
      </c>
      <c r="L170">
        <f t="shared" si="8"/>
        <v>2024</v>
      </c>
    </row>
    <row r="171" spans="1:12" x14ac:dyDescent="0.25">
      <c r="A171" t="s">
        <v>201</v>
      </c>
      <c r="B171" s="1">
        <v>45410.853564537036</v>
      </c>
      <c r="C171">
        <v>16</v>
      </c>
      <c r="D171" t="s">
        <v>16</v>
      </c>
      <c r="E171" t="s">
        <v>28</v>
      </c>
      <c r="F171" t="s">
        <v>25</v>
      </c>
      <c r="G171" t="s">
        <v>40</v>
      </c>
      <c r="H171">
        <v>1546</v>
      </c>
      <c r="I171" t="s">
        <v>20</v>
      </c>
      <c r="J171" t="str">
        <f t="shared" si="6"/>
        <v>Child</v>
      </c>
      <c r="K171" t="str">
        <f t="shared" si="7"/>
        <v>April</v>
      </c>
      <c r="L171">
        <f t="shared" si="8"/>
        <v>2024</v>
      </c>
    </row>
    <row r="172" spans="1:12" x14ac:dyDescent="0.25">
      <c r="A172" t="s">
        <v>202</v>
      </c>
      <c r="B172" s="1">
        <v>45411.556840069446</v>
      </c>
      <c r="C172">
        <v>25</v>
      </c>
      <c r="D172" t="s">
        <v>16</v>
      </c>
      <c r="E172" t="s">
        <v>22</v>
      </c>
      <c r="F172" t="s">
        <v>12</v>
      </c>
      <c r="G172" t="s">
        <v>19</v>
      </c>
      <c r="H172">
        <v>308</v>
      </c>
      <c r="I172" t="s">
        <v>14</v>
      </c>
      <c r="J172" t="str">
        <f t="shared" si="6"/>
        <v>Adult</v>
      </c>
      <c r="K172" t="str">
        <f t="shared" si="7"/>
        <v>April</v>
      </c>
      <c r="L172">
        <f t="shared" si="8"/>
        <v>2024</v>
      </c>
    </row>
    <row r="173" spans="1:12" x14ac:dyDescent="0.25">
      <c r="A173" t="s">
        <v>203</v>
      </c>
      <c r="B173" s="1">
        <v>45412.26011560185</v>
      </c>
      <c r="C173">
        <v>10</v>
      </c>
      <c r="D173" t="s">
        <v>16</v>
      </c>
      <c r="E173" t="s">
        <v>11</v>
      </c>
      <c r="F173" t="s">
        <v>23</v>
      </c>
      <c r="G173" t="s">
        <v>19</v>
      </c>
      <c r="H173">
        <v>519</v>
      </c>
      <c r="I173" t="s">
        <v>14</v>
      </c>
      <c r="J173" t="str">
        <f t="shared" si="6"/>
        <v>Child</v>
      </c>
      <c r="K173" t="str">
        <f t="shared" si="7"/>
        <v>April</v>
      </c>
      <c r="L173">
        <f t="shared" si="8"/>
        <v>2024</v>
      </c>
    </row>
    <row r="174" spans="1:12" x14ac:dyDescent="0.25">
      <c r="A174" t="s">
        <v>204</v>
      </c>
      <c r="B174" s="1">
        <v>45412.963391134261</v>
      </c>
      <c r="C174">
        <v>67</v>
      </c>
      <c r="D174" t="s">
        <v>16</v>
      </c>
      <c r="E174" t="s">
        <v>28</v>
      </c>
      <c r="F174" t="s">
        <v>25</v>
      </c>
      <c r="G174" t="s">
        <v>19</v>
      </c>
      <c r="H174">
        <v>192</v>
      </c>
      <c r="I174" t="s">
        <v>20</v>
      </c>
      <c r="J174" t="str">
        <f t="shared" si="6"/>
        <v>Senior</v>
      </c>
      <c r="K174" t="str">
        <f t="shared" si="7"/>
        <v>April</v>
      </c>
      <c r="L174">
        <f t="shared" si="8"/>
        <v>2024</v>
      </c>
    </row>
    <row r="175" spans="1:12" x14ac:dyDescent="0.25">
      <c r="A175" t="s">
        <v>205</v>
      </c>
      <c r="B175" s="1">
        <v>45413.666666666664</v>
      </c>
      <c r="C175">
        <v>72</v>
      </c>
      <c r="D175" t="s">
        <v>16</v>
      </c>
      <c r="E175" t="s">
        <v>52</v>
      </c>
      <c r="F175" t="s">
        <v>25</v>
      </c>
      <c r="G175" t="s">
        <v>19</v>
      </c>
      <c r="H175">
        <v>319</v>
      </c>
      <c r="I175" t="s">
        <v>20</v>
      </c>
      <c r="J175" t="str">
        <f t="shared" si="6"/>
        <v>Senior</v>
      </c>
      <c r="K175" t="str">
        <f t="shared" si="7"/>
        <v>May</v>
      </c>
      <c r="L175">
        <f t="shared" si="8"/>
        <v>2024</v>
      </c>
    </row>
    <row r="176" spans="1:12" x14ac:dyDescent="0.25">
      <c r="A176" t="s">
        <v>206</v>
      </c>
      <c r="B176" s="1">
        <v>45414.369942187499</v>
      </c>
      <c r="C176">
        <v>54</v>
      </c>
      <c r="D176" t="s">
        <v>16</v>
      </c>
      <c r="E176" t="s">
        <v>28</v>
      </c>
      <c r="F176" t="s">
        <v>12</v>
      </c>
      <c r="G176" t="s">
        <v>19</v>
      </c>
      <c r="H176">
        <v>2451</v>
      </c>
      <c r="I176" t="s">
        <v>14</v>
      </c>
      <c r="J176" t="str">
        <f t="shared" si="6"/>
        <v>Middle Age</v>
      </c>
      <c r="K176" t="str">
        <f t="shared" si="7"/>
        <v>May</v>
      </c>
      <c r="L176">
        <f t="shared" si="8"/>
        <v>2024</v>
      </c>
    </row>
    <row r="177" spans="1:12" x14ac:dyDescent="0.25">
      <c r="A177" t="s">
        <v>207</v>
      </c>
      <c r="B177" s="1">
        <v>45415.07321771991</v>
      </c>
      <c r="C177">
        <v>70</v>
      </c>
      <c r="D177" t="s">
        <v>16</v>
      </c>
      <c r="E177" t="s">
        <v>30</v>
      </c>
      <c r="F177" t="s">
        <v>31</v>
      </c>
      <c r="G177" t="s">
        <v>19</v>
      </c>
      <c r="H177">
        <v>1711</v>
      </c>
      <c r="I177" t="s">
        <v>14</v>
      </c>
      <c r="J177" t="str">
        <f t="shared" si="6"/>
        <v>Senior</v>
      </c>
      <c r="K177" t="str">
        <f t="shared" si="7"/>
        <v>May</v>
      </c>
      <c r="L177">
        <f t="shared" si="8"/>
        <v>2024</v>
      </c>
    </row>
    <row r="178" spans="1:12" x14ac:dyDescent="0.25">
      <c r="A178" t="s">
        <v>208</v>
      </c>
      <c r="B178" s="1">
        <v>45415.776493252313</v>
      </c>
      <c r="C178">
        <v>37</v>
      </c>
      <c r="D178" t="s">
        <v>10</v>
      </c>
      <c r="E178" t="s">
        <v>17</v>
      </c>
      <c r="F178" t="s">
        <v>25</v>
      </c>
      <c r="G178" t="s">
        <v>13</v>
      </c>
      <c r="H178">
        <v>644</v>
      </c>
      <c r="I178" t="s">
        <v>14</v>
      </c>
      <c r="J178" t="str">
        <f t="shared" si="6"/>
        <v>Adult</v>
      </c>
      <c r="K178" t="str">
        <f t="shared" si="7"/>
        <v>May</v>
      </c>
      <c r="L178">
        <f t="shared" si="8"/>
        <v>2024</v>
      </c>
    </row>
    <row r="179" spans="1:12" x14ac:dyDescent="0.25">
      <c r="A179" t="s">
        <v>209</v>
      </c>
      <c r="B179" s="1">
        <v>45416.479768784724</v>
      </c>
      <c r="C179">
        <v>22</v>
      </c>
      <c r="D179" t="s">
        <v>10</v>
      </c>
      <c r="E179" t="s">
        <v>33</v>
      </c>
      <c r="F179" t="s">
        <v>34</v>
      </c>
      <c r="G179" t="s">
        <v>26</v>
      </c>
      <c r="H179">
        <v>2159</v>
      </c>
      <c r="I179" t="s">
        <v>20</v>
      </c>
      <c r="J179" t="str">
        <f t="shared" si="6"/>
        <v>Adult</v>
      </c>
      <c r="K179" t="str">
        <f t="shared" si="7"/>
        <v>May</v>
      </c>
      <c r="L179">
        <f t="shared" si="8"/>
        <v>2024</v>
      </c>
    </row>
    <row r="180" spans="1:12" x14ac:dyDescent="0.25">
      <c r="A180" t="s">
        <v>210</v>
      </c>
      <c r="B180" s="1">
        <v>45417.183044305559</v>
      </c>
      <c r="C180">
        <v>41</v>
      </c>
      <c r="D180" t="s">
        <v>16</v>
      </c>
      <c r="E180" t="s">
        <v>30</v>
      </c>
      <c r="F180" t="s">
        <v>12</v>
      </c>
      <c r="G180" t="s">
        <v>26</v>
      </c>
      <c r="H180">
        <v>2603</v>
      </c>
      <c r="I180" t="s">
        <v>20</v>
      </c>
      <c r="J180" t="str">
        <f t="shared" si="6"/>
        <v>Middle Age</v>
      </c>
      <c r="K180" t="str">
        <f t="shared" si="7"/>
        <v>May</v>
      </c>
      <c r="L180">
        <f t="shared" si="8"/>
        <v>2024</v>
      </c>
    </row>
    <row r="181" spans="1:12" x14ac:dyDescent="0.25">
      <c r="A181" t="s">
        <v>211</v>
      </c>
      <c r="B181" s="1">
        <v>45417.886319837962</v>
      </c>
      <c r="C181">
        <v>78</v>
      </c>
      <c r="D181" t="s">
        <v>16</v>
      </c>
      <c r="E181" t="s">
        <v>36</v>
      </c>
      <c r="F181" t="s">
        <v>18</v>
      </c>
      <c r="G181" t="s">
        <v>13</v>
      </c>
      <c r="H181">
        <v>2051</v>
      </c>
      <c r="I181" t="s">
        <v>14</v>
      </c>
      <c r="J181" t="str">
        <f t="shared" si="6"/>
        <v>Senior</v>
      </c>
      <c r="K181" t="str">
        <f t="shared" si="7"/>
        <v>May</v>
      </c>
      <c r="L181">
        <f t="shared" si="8"/>
        <v>2024</v>
      </c>
    </row>
    <row r="182" spans="1:12" x14ac:dyDescent="0.25">
      <c r="A182" t="s">
        <v>212</v>
      </c>
      <c r="B182" s="1">
        <v>45418.589595370373</v>
      </c>
      <c r="C182">
        <v>50</v>
      </c>
      <c r="D182" t="s">
        <v>10</v>
      </c>
      <c r="E182" t="s">
        <v>33</v>
      </c>
      <c r="F182" t="s">
        <v>50</v>
      </c>
      <c r="G182" t="s">
        <v>40</v>
      </c>
      <c r="H182">
        <v>2237</v>
      </c>
      <c r="I182" t="s">
        <v>20</v>
      </c>
      <c r="J182" t="str">
        <f t="shared" si="6"/>
        <v>Middle Age</v>
      </c>
      <c r="K182" t="str">
        <f t="shared" si="7"/>
        <v>May</v>
      </c>
      <c r="L182">
        <f t="shared" si="8"/>
        <v>2024</v>
      </c>
    </row>
    <row r="183" spans="1:12" x14ac:dyDescent="0.25">
      <c r="A183" t="s">
        <v>213</v>
      </c>
      <c r="B183" s="1">
        <v>45419.292870902776</v>
      </c>
      <c r="C183">
        <v>48</v>
      </c>
      <c r="D183" t="s">
        <v>10</v>
      </c>
      <c r="E183" t="s">
        <v>28</v>
      </c>
      <c r="F183" t="s">
        <v>34</v>
      </c>
      <c r="G183" t="s">
        <v>13</v>
      </c>
      <c r="H183">
        <v>1230</v>
      </c>
      <c r="I183" t="s">
        <v>14</v>
      </c>
      <c r="J183" t="str">
        <f t="shared" si="6"/>
        <v>Middle Age</v>
      </c>
      <c r="K183" t="str">
        <f t="shared" si="7"/>
        <v>May</v>
      </c>
      <c r="L183">
        <f t="shared" si="8"/>
        <v>2024</v>
      </c>
    </row>
    <row r="184" spans="1:12" x14ac:dyDescent="0.25">
      <c r="A184" t="s">
        <v>214</v>
      </c>
      <c r="B184" s="1">
        <v>45419.996146435187</v>
      </c>
      <c r="C184">
        <v>78</v>
      </c>
      <c r="D184" t="s">
        <v>16</v>
      </c>
      <c r="E184" t="s">
        <v>33</v>
      </c>
      <c r="F184" t="s">
        <v>25</v>
      </c>
      <c r="G184" t="s">
        <v>13</v>
      </c>
      <c r="H184">
        <v>2014</v>
      </c>
      <c r="I184" t="s">
        <v>14</v>
      </c>
      <c r="J184" t="str">
        <f t="shared" si="6"/>
        <v>Senior</v>
      </c>
      <c r="K184" t="str">
        <f t="shared" si="7"/>
        <v>May</v>
      </c>
      <c r="L184">
        <f t="shared" si="8"/>
        <v>2024</v>
      </c>
    </row>
    <row r="185" spans="1:12" x14ac:dyDescent="0.25">
      <c r="A185" t="s">
        <v>215</v>
      </c>
      <c r="B185" s="1">
        <v>45420.699421956022</v>
      </c>
      <c r="C185">
        <v>41</v>
      </c>
      <c r="D185" t="s">
        <v>16</v>
      </c>
      <c r="E185" t="s">
        <v>11</v>
      </c>
      <c r="F185" t="s">
        <v>50</v>
      </c>
      <c r="G185" t="s">
        <v>26</v>
      </c>
      <c r="H185">
        <v>2613</v>
      </c>
      <c r="I185" t="s">
        <v>20</v>
      </c>
      <c r="J185" t="str">
        <f t="shared" si="6"/>
        <v>Middle Age</v>
      </c>
      <c r="K185" t="str">
        <f t="shared" si="7"/>
        <v>May</v>
      </c>
      <c r="L185">
        <f t="shared" si="8"/>
        <v>2024</v>
      </c>
    </row>
    <row r="186" spans="1:12" x14ac:dyDescent="0.25">
      <c r="A186" t="s">
        <v>216</v>
      </c>
      <c r="B186" s="1">
        <v>45421.402697488425</v>
      </c>
      <c r="C186">
        <v>79</v>
      </c>
      <c r="D186" t="s">
        <v>10</v>
      </c>
      <c r="E186" t="s">
        <v>33</v>
      </c>
      <c r="F186" t="s">
        <v>18</v>
      </c>
      <c r="G186" t="s">
        <v>13</v>
      </c>
      <c r="H186">
        <v>2620</v>
      </c>
      <c r="I186" t="s">
        <v>20</v>
      </c>
      <c r="J186" t="str">
        <f t="shared" si="6"/>
        <v>Senior</v>
      </c>
      <c r="K186" t="str">
        <f t="shared" si="7"/>
        <v>May</v>
      </c>
      <c r="L186">
        <f t="shared" si="8"/>
        <v>2024</v>
      </c>
    </row>
    <row r="187" spans="1:12" x14ac:dyDescent="0.25">
      <c r="A187" t="s">
        <v>217</v>
      </c>
      <c r="B187" s="1">
        <v>45422.105973020836</v>
      </c>
      <c r="C187">
        <v>46</v>
      </c>
      <c r="D187" t="s">
        <v>16</v>
      </c>
      <c r="E187" t="s">
        <v>52</v>
      </c>
      <c r="F187" t="s">
        <v>18</v>
      </c>
      <c r="G187" t="s">
        <v>13</v>
      </c>
      <c r="H187">
        <v>81</v>
      </c>
      <c r="I187" t="s">
        <v>20</v>
      </c>
      <c r="J187" t="str">
        <f t="shared" si="6"/>
        <v>Middle Age</v>
      </c>
      <c r="K187" t="str">
        <f t="shared" si="7"/>
        <v>May</v>
      </c>
      <c r="L187">
        <f t="shared" si="8"/>
        <v>2024</v>
      </c>
    </row>
    <row r="188" spans="1:12" x14ac:dyDescent="0.25">
      <c r="A188" t="s">
        <v>218</v>
      </c>
      <c r="B188" s="1">
        <v>45422.80924855324</v>
      </c>
      <c r="C188">
        <v>88</v>
      </c>
      <c r="D188" t="s">
        <v>16</v>
      </c>
      <c r="E188" t="s">
        <v>52</v>
      </c>
      <c r="F188" t="s">
        <v>12</v>
      </c>
      <c r="G188" t="s">
        <v>26</v>
      </c>
      <c r="H188">
        <v>1694</v>
      </c>
      <c r="I188" t="s">
        <v>14</v>
      </c>
      <c r="J188" t="str">
        <f t="shared" si="6"/>
        <v>Senior</v>
      </c>
      <c r="K188" t="str">
        <f t="shared" si="7"/>
        <v>May</v>
      </c>
      <c r="L188">
        <f t="shared" si="8"/>
        <v>2024</v>
      </c>
    </row>
    <row r="189" spans="1:12" x14ac:dyDescent="0.25">
      <c r="A189" t="s">
        <v>219</v>
      </c>
      <c r="B189" s="1">
        <v>45423.512524074074</v>
      </c>
      <c r="C189">
        <v>17</v>
      </c>
      <c r="D189" t="s">
        <v>16</v>
      </c>
      <c r="E189" t="s">
        <v>17</v>
      </c>
      <c r="F189" t="s">
        <v>34</v>
      </c>
      <c r="G189" t="s">
        <v>26</v>
      </c>
      <c r="H189">
        <v>141</v>
      </c>
      <c r="I189" t="s">
        <v>20</v>
      </c>
      <c r="J189" t="str">
        <f t="shared" si="6"/>
        <v>Child</v>
      </c>
      <c r="K189" t="str">
        <f t="shared" si="7"/>
        <v>May</v>
      </c>
      <c r="L189">
        <f t="shared" si="8"/>
        <v>2024</v>
      </c>
    </row>
    <row r="190" spans="1:12" x14ac:dyDescent="0.25">
      <c r="A190" t="s">
        <v>220</v>
      </c>
      <c r="B190" s="1">
        <v>45424.215799606478</v>
      </c>
      <c r="C190">
        <v>29</v>
      </c>
      <c r="D190" t="s">
        <v>10</v>
      </c>
      <c r="E190" t="s">
        <v>28</v>
      </c>
      <c r="F190" t="s">
        <v>50</v>
      </c>
      <c r="G190" t="s">
        <v>19</v>
      </c>
      <c r="H190">
        <v>1810</v>
      </c>
      <c r="I190" t="s">
        <v>20</v>
      </c>
      <c r="J190" t="str">
        <f t="shared" si="6"/>
        <v>Adult</v>
      </c>
      <c r="K190" t="str">
        <f t="shared" si="7"/>
        <v>May</v>
      </c>
      <c r="L190">
        <f t="shared" si="8"/>
        <v>2024</v>
      </c>
    </row>
    <row r="191" spans="1:12" x14ac:dyDescent="0.25">
      <c r="A191" t="s">
        <v>221</v>
      </c>
      <c r="B191" s="1">
        <v>45424.919075138889</v>
      </c>
      <c r="C191">
        <v>46</v>
      </c>
      <c r="D191" t="s">
        <v>10</v>
      </c>
      <c r="E191" t="s">
        <v>11</v>
      </c>
      <c r="F191" t="s">
        <v>12</v>
      </c>
      <c r="G191" t="s">
        <v>26</v>
      </c>
      <c r="H191">
        <v>664</v>
      </c>
      <c r="I191" t="s">
        <v>14</v>
      </c>
      <c r="J191" t="str">
        <f t="shared" si="6"/>
        <v>Middle Age</v>
      </c>
      <c r="K191" t="str">
        <f t="shared" si="7"/>
        <v>May</v>
      </c>
      <c r="L191">
        <f t="shared" si="8"/>
        <v>2024</v>
      </c>
    </row>
    <row r="192" spans="1:12" x14ac:dyDescent="0.25">
      <c r="A192" t="s">
        <v>222</v>
      </c>
      <c r="B192" s="1">
        <v>45425.6223506713</v>
      </c>
      <c r="C192">
        <v>68</v>
      </c>
      <c r="D192" t="s">
        <v>10</v>
      </c>
      <c r="E192" t="s">
        <v>36</v>
      </c>
      <c r="F192" t="s">
        <v>18</v>
      </c>
      <c r="G192" t="s">
        <v>40</v>
      </c>
      <c r="H192">
        <v>164</v>
      </c>
      <c r="I192" t="s">
        <v>20</v>
      </c>
      <c r="J192" t="str">
        <f t="shared" si="6"/>
        <v>Senior</v>
      </c>
      <c r="K192" t="str">
        <f t="shared" si="7"/>
        <v>May</v>
      </c>
      <c r="L192">
        <f t="shared" si="8"/>
        <v>2024</v>
      </c>
    </row>
    <row r="193" spans="1:12" x14ac:dyDescent="0.25">
      <c r="A193" t="s">
        <v>223</v>
      </c>
      <c r="B193" s="1">
        <v>45426.325626203703</v>
      </c>
      <c r="C193">
        <v>67</v>
      </c>
      <c r="D193" t="s">
        <v>16</v>
      </c>
      <c r="E193" t="s">
        <v>28</v>
      </c>
      <c r="F193" t="s">
        <v>50</v>
      </c>
      <c r="G193" t="s">
        <v>40</v>
      </c>
      <c r="H193">
        <v>2383</v>
      </c>
      <c r="I193" t="s">
        <v>14</v>
      </c>
      <c r="J193" t="str">
        <f t="shared" si="6"/>
        <v>Senior</v>
      </c>
      <c r="K193" t="str">
        <f t="shared" si="7"/>
        <v>May</v>
      </c>
      <c r="L193">
        <f t="shared" si="8"/>
        <v>2024</v>
      </c>
    </row>
    <row r="194" spans="1:12" x14ac:dyDescent="0.25">
      <c r="A194" t="s">
        <v>224</v>
      </c>
      <c r="B194" s="1">
        <v>45427.028901724538</v>
      </c>
      <c r="C194">
        <v>79</v>
      </c>
      <c r="D194" t="s">
        <v>10</v>
      </c>
      <c r="E194" t="s">
        <v>22</v>
      </c>
      <c r="F194" t="s">
        <v>12</v>
      </c>
      <c r="G194" t="s">
        <v>13</v>
      </c>
      <c r="H194">
        <v>2409</v>
      </c>
      <c r="I194" t="s">
        <v>14</v>
      </c>
      <c r="J194" t="str">
        <f t="shared" si="6"/>
        <v>Senior</v>
      </c>
      <c r="K194" t="str">
        <f t="shared" si="7"/>
        <v>May</v>
      </c>
      <c r="L194">
        <f t="shared" si="8"/>
        <v>2024</v>
      </c>
    </row>
    <row r="195" spans="1:12" x14ac:dyDescent="0.25">
      <c r="A195" t="s">
        <v>225</v>
      </c>
      <c r="B195" s="1">
        <v>45427.732177256941</v>
      </c>
      <c r="C195">
        <v>47</v>
      </c>
      <c r="D195" t="s">
        <v>16</v>
      </c>
      <c r="E195" t="s">
        <v>28</v>
      </c>
      <c r="F195" t="s">
        <v>34</v>
      </c>
      <c r="G195" t="s">
        <v>26</v>
      </c>
      <c r="H195">
        <v>2131</v>
      </c>
      <c r="I195" t="s">
        <v>20</v>
      </c>
      <c r="J195" t="str">
        <f t="shared" ref="J195:J258" si="9">IF(C195&lt;18,"Child",IF(C195&lt;=40,"Adult",IF(C195&lt;=60,"Middle Age","Senior")))</f>
        <v>Middle Age</v>
      </c>
      <c r="K195" t="str">
        <f t="shared" ref="K195:K258" si="10">TEXT(B195,"mmmm")</f>
        <v>May</v>
      </c>
      <c r="L195">
        <f t="shared" ref="L195:L258" si="11">YEAR(B195)</f>
        <v>2024</v>
      </c>
    </row>
    <row r="196" spans="1:12" x14ac:dyDescent="0.25">
      <c r="A196" t="s">
        <v>226</v>
      </c>
      <c r="B196" s="1">
        <v>45428.435452789352</v>
      </c>
      <c r="C196">
        <v>1</v>
      </c>
      <c r="D196" t="s">
        <v>16</v>
      </c>
      <c r="E196" t="s">
        <v>28</v>
      </c>
      <c r="F196" t="s">
        <v>31</v>
      </c>
      <c r="G196" t="s">
        <v>26</v>
      </c>
      <c r="H196">
        <v>2651</v>
      </c>
      <c r="I196" t="s">
        <v>20</v>
      </c>
      <c r="J196" t="str">
        <f t="shared" si="9"/>
        <v>Child</v>
      </c>
      <c r="K196" t="str">
        <f t="shared" si="10"/>
        <v>May</v>
      </c>
      <c r="L196">
        <f t="shared" si="11"/>
        <v>2024</v>
      </c>
    </row>
    <row r="197" spans="1:12" x14ac:dyDescent="0.25">
      <c r="A197" t="s">
        <v>227</v>
      </c>
      <c r="B197" s="1">
        <v>45429.138728321763</v>
      </c>
      <c r="C197">
        <v>30</v>
      </c>
      <c r="D197" t="s">
        <v>16</v>
      </c>
      <c r="E197" t="s">
        <v>28</v>
      </c>
      <c r="F197" t="s">
        <v>23</v>
      </c>
      <c r="G197" t="s">
        <v>19</v>
      </c>
      <c r="H197">
        <v>413</v>
      </c>
      <c r="I197" t="s">
        <v>14</v>
      </c>
      <c r="J197" t="str">
        <f t="shared" si="9"/>
        <v>Adult</v>
      </c>
      <c r="K197" t="str">
        <f t="shared" si="10"/>
        <v>May</v>
      </c>
      <c r="L197">
        <f t="shared" si="11"/>
        <v>2024</v>
      </c>
    </row>
    <row r="198" spans="1:12" x14ac:dyDescent="0.25">
      <c r="A198" t="s">
        <v>228</v>
      </c>
      <c r="B198" s="1">
        <v>45429.84200384259</v>
      </c>
      <c r="C198">
        <v>64</v>
      </c>
      <c r="D198" t="s">
        <v>10</v>
      </c>
      <c r="E198" t="s">
        <v>52</v>
      </c>
      <c r="F198" t="s">
        <v>18</v>
      </c>
      <c r="G198" t="s">
        <v>19</v>
      </c>
      <c r="H198">
        <v>883</v>
      </c>
      <c r="I198" t="s">
        <v>20</v>
      </c>
      <c r="J198" t="str">
        <f t="shared" si="9"/>
        <v>Senior</v>
      </c>
      <c r="K198" t="str">
        <f t="shared" si="10"/>
        <v>May</v>
      </c>
      <c r="L198">
        <f t="shared" si="11"/>
        <v>2024</v>
      </c>
    </row>
    <row r="199" spans="1:12" x14ac:dyDescent="0.25">
      <c r="A199" t="s">
        <v>229</v>
      </c>
      <c r="B199" s="1">
        <v>45430.545279375001</v>
      </c>
      <c r="C199">
        <v>76</v>
      </c>
      <c r="D199" t="s">
        <v>16</v>
      </c>
      <c r="E199" t="s">
        <v>17</v>
      </c>
      <c r="F199" t="s">
        <v>25</v>
      </c>
      <c r="G199" t="s">
        <v>40</v>
      </c>
      <c r="H199">
        <v>2203</v>
      </c>
      <c r="I199" t="s">
        <v>20</v>
      </c>
      <c r="J199" t="str">
        <f t="shared" si="9"/>
        <v>Senior</v>
      </c>
      <c r="K199" t="str">
        <f t="shared" si="10"/>
        <v>May</v>
      </c>
      <c r="L199">
        <f t="shared" si="11"/>
        <v>2024</v>
      </c>
    </row>
    <row r="200" spans="1:12" x14ac:dyDescent="0.25">
      <c r="A200" t="s">
        <v>230</v>
      </c>
      <c r="B200" s="1">
        <v>45431.248554907404</v>
      </c>
      <c r="C200">
        <v>36</v>
      </c>
      <c r="D200" t="s">
        <v>10</v>
      </c>
      <c r="E200" t="s">
        <v>52</v>
      </c>
      <c r="F200" t="s">
        <v>23</v>
      </c>
      <c r="G200" t="s">
        <v>19</v>
      </c>
      <c r="H200">
        <v>2275</v>
      </c>
      <c r="I200" t="s">
        <v>20</v>
      </c>
      <c r="J200" t="str">
        <f t="shared" si="9"/>
        <v>Adult</v>
      </c>
      <c r="K200" t="str">
        <f t="shared" si="10"/>
        <v>May</v>
      </c>
      <c r="L200">
        <f t="shared" si="11"/>
        <v>2024</v>
      </c>
    </row>
    <row r="201" spans="1:12" x14ac:dyDescent="0.25">
      <c r="A201" t="s">
        <v>231</v>
      </c>
      <c r="B201" s="1">
        <v>45431.951830439815</v>
      </c>
      <c r="C201">
        <v>54</v>
      </c>
      <c r="D201" t="s">
        <v>10</v>
      </c>
      <c r="E201" t="s">
        <v>28</v>
      </c>
      <c r="F201" t="s">
        <v>50</v>
      </c>
      <c r="G201" t="s">
        <v>26</v>
      </c>
      <c r="H201">
        <v>1415</v>
      </c>
      <c r="I201" t="s">
        <v>20</v>
      </c>
      <c r="J201" t="str">
        <f t="shared" si="9"/>
        <v>Middle Age</v>
      </c>
      <c r="K201" t="str">
        <f t="shared" si="10"/>
        <v>May</v>
      </c>
      <c r="L201">
        <f t="shared" si="11"/>
        <v>2024</v>
      </c>
    </row>
    <row r="202" spans="1:12" x14ac:dyDescent="0.25">
      <c r="A202" t="s">
        <v>232</v>
      </c>
      <c r="B202" s="1">
        <v>45432.655105972219</v>
      </c>
      <c r="C202">
        <v>34</v>
      </c>
      <c r="D202" t="s">
        <v>10</v>
      </c>
      <c r="E202" t="s">
        <v>33</v>
      </c>
      <c r="F202" t="s">
        <v>23</v>
      </c>
      <c r="G202" t="s">
        <v>40</v>
      </c>
      <c r="H202">
        <v>1255</v>
      </c>
      <c r="I202" t="s">
        <v>20</v>
      </c>
      <c r="J202" t="str">
        <f t="shared" si="9"/>
        <v>Adult</v>
      </c>
      <c r="K202" t="str">
        <f t="shared" si="10"/>
        <v>May</v>
      </c>
      <c r="L202">
        <f t="shared" si="11"/>
        <v>2024</v>
      </c>
    </row>
    <row r="203" spans="1:12" x14ac:dyDescent="0.25">
      <c r="A203" t="s">
        <v>233</v>
      </c>
      <c r="B203" s="1">
        <v>45433.358381493053</v>
      </c>
      <c r="C203">
        <v>3</v>
      </c>
      <c r="D203" t="s">
        <v>16</v>
      </c>
      <c r="E203" t="s">
        <v>28</v>
      </c>
      <c r="F203" t="s">
        <v>31</v>
      </c>
      <c r="G203" t="s">
        <v>40</v>
      </c>
      <c r="H203">
        <v>2079</v>
      </c>
      <c r="I203" t="s">
        <v>20</v>
      </c>
      <c r="J203" t="str">
        <f t="shared" si="9"/>
        <v>Child</v>
      </c>
      <c r="K203" t="str">
        <f t="shared" si="10"/>
        <v>May</v>
      </c>
      <c r="L203">
        <f t="shared" si="11"/>
        <v>2024</v>
      </c>
    </row>
    <row r="204" spans="1:12" x14ac:dyDescent="0.25">
      <c r="A204" t="s">
        <v>234</v>
      </c>
      <c r="B204" s="1">
        <v>45434.061657025464</v>
      </c>
      <c r="C204">
        <v>85</v>
      </c>
      <c r="D204" t="s">
        <v>16</v>
      </c>
      <c r="E204" t="s">
        <v>17</v>
      </c>
      <c r="F204" t="s">
        <v>34</v>
      </c>
      <c r="G204" t="s">
        <v>13</v>
      </c>
      <c r="H204">
        <v>1762</v>
      </c>
      <c r="I204" t="s">
        <v>20</v>
      </c>
      <c r="J204" t="str">
        <f t="shared" si="9"/>
        <v>Senior</v>
      </c>
      <c r="K204" t="str">
        <f t="shared" si="10"/>
        <v>May</v>
      </c>
      <c r="L204">
        <f t="shared" si="11"/>
        <v>2024</v>
      </c>
    </row>
    <row r="205" spans="1:12" x14ac:dyDescent="0.25">
      <c r="A205" t="s">
        <v>235</v>
      </c>
      <c r="B205" s="1">
        <v>45434.764932557868</v>
      </c>
      <c r="C205">
        <v>84</v>
      </c>
      <c r="D205" t="s">
        <v>10</v>
      </c>
      <c r="E205" t="s">
        <v>11</v>
      </c>
      <c r="F205" t="s">
        <v>23</v>
      </c>
      <c r="G205" t="s">
        <v>13</v>
      </c>
      <c r="H205">
        <v>562</v>
      </c>
      <c r="I205" t="s">
        <v>20</v>
      </c>
      <c r="J205" t="str">
        <f t="shared" si="9"/>
        <v>Senior</v>
      </c>
      <c r="K205" t="str">
        <f t="shared" si="10"/>
        <v>May</v>
      </c>
      <c r="L205">
        <f t="shared" si="11"/>
        <v>2024</v>
      </c>
    </row>
    <row r="206" spans="1:12" x14ac:dyDescent="0.25">
      <c r="A206" t="s">
        <v>236</v>
      </c>
      <c r="B206" s="1">
        <v>45435.468208090278</v>
      </c>
      <c r="C206">
        <v>49</v>
      </c>
      <c r="D206" t="s">
        <v>16</v>
      </c>
      <c r="E206" t="s">
        <v>52</v>
      </c>
      <c r="F206" t="s">
        <v>50</v>
      </c>
      <c r="G206" t="s">
        <v>40</v>
      </c>
      <c r="H206">
        <v>856</v>
      </c>
      <c r="I206" t="s">
        <v>20</v>
      </c>
      <c r="J206" t="str">
        <f t="shared" si="9"/>
        <v>Middle Age</v>
      </c>
      <c r="K206" t="str">
        <f t="shared" si="10"/>
        <v>May</v>
      </c>
      <c r="L206">
        <f t="shared" si="11"/>
        <v>2024</v>
      </c>
    </row>
    <row r="207" spans="1:12" x14ac:dyDescent="0.25">
      <c r="A207" t="s">
        <v>237</v>
      </c>
      <c r="B207" s="1">
        <v>45436.171483611113</v>
      </c>
      <c r="C207">
        <v>55</v>
      </c>
      <c r="D207" t="s">
        <v>10</v>
      </c>
      <c r="E207" t="s">
        <v>17</v>
      </c>
      <c r="F207" t="s">
        <v>18</v>
      </c>
      <c r="G207" t="s">
        <v>19</v>
      </c>
      <c r="H207">
        <v>825</v>
      </c>
      <c r="I207" t="s">
        <v>14</v>
      </c>
      <c r="J207" t="str">
        <f t="shared" si="9"/>
        <v>Middle Age</v>
      </c>
      <c r="K207" t="str">
        <f t="shared" si="10"/>
        <v>May</v>
      </c>
      <c r="L207">
        <f t="shared" si="11"/>
        <v>2024</v>
      </c>
    </row>
    <row r="208" spans="1:12" x14ac:dyDescent="0.25">
      <c r="A208" t="s">
        <v>238</v>
      </c>
      <c r="B208" s="1">
        <v>45436.874759143517</v>
      </c>
      <c r="C208">
        <v>33</v>
      </c>
      <c r="D208" t="s">
        <v>10</v>
      </c>
      <c r="E208" t="s">
        <v>36</v>
      </c>
      <c r="F208" t="s">
        <v>23</v>
      </c>
      <c r="G208" t="s">
        <v>13</v>
      </c>
      <c r="H208">
        <v>2375</v>
      </c>
      <c r="I208" t="s">
        <v>20</v>
      </c>
      <c r="J208" t="str">
        <f t="shared" si="9"/>
        <v>Adult</v>
      </c>
      <c r="K208" t="str">
        <f t="shared" si="10"/>
        <v>May</v>
      </c>
      <c r="L208">
        <f t="shared" si="11"/>
        <v>2024</v>
      </c>
    </row>
    <row r="209" spans="1:12" x14ac:dyDescent="0.25">
      <c r="A209" t="s">
        <v>239</v>
      </c>
      <c r="B209" s="1">
        <v>45437.578034675927</v>
      </c>
      <c r="C209">
        <v>29</v>
      </c>
      <c r="D209" t="s">
        <v>16</v>
      </c>
      <c r="E209" t="s">
        <v>30</v>
      </c>
      <c r="F209" t="s">
        <v>12</v>
      </c>
      <c r="G209" t="s">
        <v>26</v>
      </c>
      <c r="H209">
        <v>1601</v>
      </c>
      <c r="I209" t="s">
        <v>20</v>
      </c>
      <c r="J209" t="str">
        <f t="shared" si="9"/>
        <v>Adult</v>
      </c>
      <c r="K209" t="str">
        <f t="shared" si="10"/>
        <v>May</v>
      </c>
      <c r="L209">
        <f t="shared" si="11"/>
        <v>2024</v>
      </c>
    </row>
    <row r="210" spans="1:12" x14ac:dyDescent="0.25">
      <c r="A210" t="s">
        <v>240</v>
      </c>
      <c r="B210" s="1">
        <v>45438.281310208331</v>
      </c>
      <c r="C210">
        <v>56</v>
      </c>
      <c r="D210" t="s">
        <v>10</v>
      </c>
      <c r="E210" t="s">
        <v>11</v>
      </c>
      <c r="F210" t="s">
        <v>23</v>
      </c>
      <c r="G210" t="s">
        <v>19</v>
      </c>
      <c r="H210">
        <v>2729</v>
      </c>
      <c r="I210" t="s">
        <v>20</v>
      </c>
      <c r="J210" t="str">
        <f t="shared" si="9"/>
        <v>Middle Age</v>
      </c>
      <c r="K210" t="str">
        <f t="shared" si="10"/>
        <v>May</v>
      </c>
      <c r="L210">
        <f t="shared" si="11"/>
        <v>2024</v>
      </c>
    </row>
    <row r="211" spans="1:12" x14ac:dyDescent="0.25">
      <c r="A211" t="s">
        <v>241</v>
      </c>
      <c r="B211" s="1">
        <v>45438.984585740742</v>
      </c>
      <c r="C211">
        <v>83</v>
      </c>
      <c r="D211" t="s">
        <v>10</v>
      </c>
      <c r="E211" t="s">
        <v>30</v>
      </c>
      <c r="F211" t="s">
        <v>25</v>
      </c>
      <c r="G211" t="s">
        <v>19</v>
      </c>
      <c r="H211">
        <v>2545</v>
      </c>
      <c r="I211" t="s">
        <v>14</v>
      </c>
      <c r="J211" t="str">
        <f t="shared" si="9"/>
        <v>Senior</v>
      </c>
      <c r="K211" t="str">
        <f t="shared" si="10"/>
        <v>May</v>
      </c>
      <c r="L211">
        <f t="shared" si="11"/>
        <v>2024</v>
      </c>
    </row>
    <row r="212" spans="1:12" x14ac:dyDescent="0.25">
      <c r="A212" t="s">
        <v>242</v>
      </c>
      <c r="B212" s="1">
        <v>45439.687861261576</v>
      </c>
      <c r="C212">
        <v>32</v>
      </c>
      <c r="D212" t="s">
        <v>10</v>
      </c>
      <c r="E212" t="s">
        <v>33</v>
      </c>
      <c r="F212" t="s">
        <v>12</v>
      </c>
      <c r="G212" t="s">
        <v>40</v>
      </c>
      <c r="H212">
        <v>403</v>
      </c>
      <c r="I212" t="s">
        <v>20</v>
      </c>
      <c r="J212" t="str">
        <f t="shared" si="9"/>
        <v>Adult</v>
      </c>
      <c r="K212" t="str">
        <f t="shared" si="10"/>
        <v>May</v>
      </c>
      <c r="L212">
        <f t="shared" si="11"/>
        <v>2024</v>
      </c>
    </row>
    <row r="213" spans="1:12" x14ac:dyDescent="0.25">
      <c r="A213" t="s">
        <v>243</v>
      </c>
      <c r="B213" s="1">
        <v>45440.39113679398</v>
      </c>
      <c r="C213">
        <v>29</v>
      </c>
      <c r="D213" t="s">
        <v>16</v>
      </c>
      <c r="E213" t="s">
        <v>17</v>
      </c>
      <c r="F213" t="s">
        <v>31</v>
      </c>
      <c r="G213" t="s">
        <v>26</v>
      </c>
      <c r="H213">
        <v>1316</v>
      </c>
      <c r="I213" t="s">
        <v>20</v>
      </c>
      <c r="J213" t="str">
        <f t="shared" si="9"/>
        <v>Adult</v>
      </c>
      <c r="K213" t="str">
        <f t="shared" si="10"/>
        <v>May</v>
      </c>
      <c r="L213">
        <f t="shared" si="11"/>
        <v>2024</v>
      </c>
    </row>
    <row r="214" spans="1:12" x14ac:dyDescent="0.25">
      <c r="A214" t="s">
        <v>244</v>
      </c>
      <c r="B214" s="1">
        <v>45441.094412326391</v>
      </c>
      <c r="C214">
        <v>75</v>
      </c>
      <c r="D214" t="s">
        <v>10</v>
      </c>
      <c r="E214" t="s">
        <v>11</v>
      </c>
      <c r="F214" t="s">
        <v>12</v>
      </c>
      <c r="G214" t="s">
        <v>40</v>
      </c>
      <c r="H214">
        <v>720</v>
      </c>
      <c r="I214" t="s">
        <v>14</v>
      </c>
      <c r="J214" t="str">
        <f t="shared" si="9"/>
        <v>Senior</v>
      </c>
      <c r="K214" t="str">
        <f t="shared" si="10"/>
        <v>May</v>
      </c>
      <c r="L214">
        <f t="shared" si="11"/>
        <v>2024</v>
      </c>
    </row>
    <row r="215" spans="1:12" x14ac:dyDescent="0.25">
      <c r="A215" t="s">
        <v>245</v>
      </c>
      <c r="B215" s="1">
        <v>45441.797687858794</v>
      </c>
      <c r="C215">
        <v>9</v>
      </c>
      <c r="D215" t="s">
        <v>10</v>
      </c>
      <c r="E215" t="s">
        <v>28</v>
      </c>
      <c r="F215" t="s">
        <v>34</v>
      </c>
      <c r="G215" t="s">
        <v>26</v>
      </c>
      <c r="H215">
        <v>210</v>
      </c>
      <c r="I215" t="s">
        <v>20</v>
      </c>
      <c r="J215" t="str">
        <f t="shared" si="9"/>
        <v>Child</v>
      </c>
      <c r="K215" t="str">
        <f t="shared" si="10"/>
        <v>May</v>
      </c>
      <c r="L215">
        <f t="shared" si="11"/>
        <v>2024</v>
      </c>
    </row>
    <row r="216" spans="1:12" x14ac:dyDescent="0.25">
      <c r="A216" t="s">
        <v>246</v>
      </c>
      <c r="B216" s="1">
        <v>45442.500963379629</v>
      </c>
      <c r="C216">
        <v>33</v>
      </c>
      <c r="D216" t="s">
        <v>16</v>
      </c>
      <c r="E216" t="s">
        <v>22</v>
      </c>
      <c r="F216" t="s">
        <v>31</v>
      </c>
      <c r="G216" t="s">
        <v>40</v>
      </c>
      <c r="H216">
        <v>1914</v>
      </c>
      <c r="I216" t="s">
        <v>20</v>
      </c>
      <c r="J216" t="str">
        <f t="shared" si="9"/>
        <v>Adult</v>
      </c>
      <c r="K216" t="str">
        <f t="shared" si="10"/>
        <v>May</v>
      </c>
      <c r="L216">
        <f t="shared" si="11"/>
        <v>2024</v>
      </c>
    </row>
    <row r="217" spans="1:12" x14ac:dyDescent="0.25">
      <c r="A217" t="s">
        <v>247</v>
      </c>
      <c r="B217" s="1">
        <v>45443.20423891204</v>
      </c>
      <c r="C217">
        <v>9</v>
      </c>
      <c r="D217" t="s">
        <v>10</v>
      </c>
      <c r="E217" t="s">
        <v>17</v>
      </c>
      <c r="F217" t="s">
        <v>25</v>
      </c>
      <c r="G217" t="s">
        <v>19</v>
      </c>
      <c r="H217">
        <v>1758</v>
      </c>
      <c r="I217" t="s">
        <v>14</v>
      </c>
      <c r="J217" t="str">
        <f t="shared" si="9"/>
        <v>Child</v>
      </c>
      <c r="K217" t="str">
        <f t="shared" si="10"/>
        <v>May</v>
      </c>
      <c r="L217">
        <f t="shared" si="11"/>
        <v>2024</v>
      </c>
    </row>
    <row r="218" spans="1:12" x14ac:dyDescent="0.25">
      <c r="A218" t="s">
        <v>248</v>
      </c>
      <c r="B218" s="1">
        <v>45443.907514444443</v>
      </c>
      <c r="C218">
        <v>85</v>
      </c>
      <c r="D218" t="s">
        <v>16</v>
      </c>
      <c r="E218" t="s">
        <v>28</v>
      </c>
      <c r="F218" t="s">
        <v>23</v>
      </c>
      <c r="G218" t="s">
        <v>13</v>
      </c>
      <c r="H218">
        <v>730</v>
      </c>
      <c r="I218" t="s">
        <v>14</v>
      </c>
      <c r="J218" t="str">
        <f t="shared" si="9"/>
        <v>Senior</v>
      </c>
      <c r="K218" t="str">
        <f t="shared" si="10"/>
        <v>May</v>
      </c>
      <c r="L218">
        <f t="shared" si="11"/>
        <v>2024</v>
      </c>
    </row>
    <row r="219" spans="1:12" x14ac:dyDescent="0.25">
      <c r="A219" t="s">
        <v>249</v>
      </c>
      <c r="B219" s="1">
        <v>45444.610789976854</v>
      </c>
      <c r="C219">
        <v>78</v>
      </c>
      <c r="D219" t="s">
        <v>16</v>
      </c>
      <c r="E219" t="s">
        <v>17</v>
      </c>
      <c r="F219" t="s">
        <v>34</v>
      </c>
      <c r="G219" t="s">
        <v>19</v>
      </c>
      <c r="H219">
        <v>1397</v>
      </c>
      <c r="I219" t="s">
        <v>20</v>
      </c>
      <c r="J219" t="str">
        <f t="shared" si="9"/>
        <v>Senior</v>
      </c>
      <c r="K219" t="str">
        <f t="shared" si="10"/>
        <v>June</v>
      </c>
      <c r="L219">
        <f t="shared" si="11"/>
        <v>2024</v>
      </c>
    </row>
    <row r="220" spans="1:12" x14ac:dyDescent="0.25">
      <c r="A220" t="s">
        <v>250</v>
      </c>
      <c r="B220" s="1">
        <v>45445.314065509257</v>
      </c>
      <c r="C220">
        <v>51</v>
      </c>
      <c r="D220" t="s">
        <v>16</v>
      </c>
      <c r="E220" t="s">
        <v>33</v>
      </c>
      <c r="F220" t="s">
        <v>18</v>
      </c>
      <c r="G220" t="s">
        <v>19</v>
      </c>
      <c r="H220">
        <v>1738</v>
      </c>
      <c r="I220" t="s">
        <v>14</v>
      </c>
      <c r="J220" t="str">
        <f t="shared" si="9"/>
        <v>Middle Age</v>
      </c>
      <c r="K220" t="str">
        <f t="shared" si="10"/>
        <v>June</v>
      </c>
      <c r="L220">
        <f t="shared" si="11"/>
        <v>2024</v>
      </c>
    </row>
    <row r="221" spans="1:12" x14ac:dyDescent="0.25">
      <c r="A221" t="s">
        <v>251</v>
      </c>
      <c r="B221" s="1">
        <v>45446.017341030092</v>
      </c>
      <c r="C221">
        <v>80</v>
      </c>
      <c r="D221" t="s">
        <v>10</v>
      </c>
      <c r="E221" t="s">
        <v>22</v>
      </c>
      <c r="F221" t="s">
        <v>50</v>
      </c>
      <c r="G221" t="s">
        <v>19</v>
      </c>
      <c r="H221">
        <v>2916</v>
      </c>
      <c r="I221" t="s">
        <v>14</v>
      </c>
      <c r="J221" t="str">
        <f t="shared" si="9"/>
        <v>Senior</v>
      </c>
      <c r="K221" t="str">
        <f t="shared" si="10"/>
        <v>June</v>
      </c>
      <c r="L221">
        <f t="shared" si="11"/>
        <v>2024</v>
      </c>
    </row>
    <row r="222" spans="1:12" x14ac:dyDescent="0.25">
      <c r="A222" t="s">
        <v>252</v>
      </c>
      <c r="B222" s="1">
        <v>45446.720616562503</v>
      </c>
      <c r="C222">
        <v>42</v>
      </c>
      <c r="D222" t="s">
        <v>16</v>
      </c>
      <c r="E222" t="s">
        <v>11</v>
      </c>
      <c r="F222" t="s">
        <v>23</v>
      </c>
      <c r="G222" t="s">
        <v>26</v>
      </c>
      <c r="H222">
        <v>2786</v>
      </c>
      <c r="I222" t="s">
        <v>14</v>
      </c>
      <c r="J222" t="str">
        <f t="shared" si="9"/>
        <v>Middle Age</v>
      </c>
      <c r="K222" t="str">
        <f t="shared" si="10"/>
        <v>June</v>
      </c>
      <c r="L222">
        <f t="shared" si="11"/>
        <v>2024</v>
      </c>
    </row>
    <row r="223" spans="1:12" x14ac:dyDescent="0.25">
      <c r="A223" t="s">
        <v>253</v>
      </c>
      <c r="B223" s="1">
        <v>45447.423892094906</v>
      </c>
      <c r="C223">
        <v>65</v>
      </c>
      <c r="D223" t="s">
        <v>10</v>
      </c>
      <c r="E223" t="s">
        <v>11</v>
      </c>
      <c r="F223" t="s">
        <v>34</v>
      </c>
      <c r="G223" t="s">
        <v>13</v>
      </c>
      <c r="H223">
        <v>933</v>
      </c>
      <c r="I223" t="s">
        <v>14</v>
      </c>
      <c r="J223" t="str">
        <f t="shared" si="9"/>
        <v>Senior</v>
      </c>
      <c r="K223" t="str">
        <f t="shared" si="10"/>
        <v>June</v>
      </c>
      <c r="L223">
        <f t="shared" si="11"/>
        <v>2024</v>
      </c>
    </row>
    <row r="224" spans="1:12" x14ac:dyDescent="0.25">
      <c r="A224" t="s">
        <v>254</v>
      </c>
      <c r="B224" s="1">
        <v>45448.127167627317</v>
      </c>
      <c r="C224">
        <v>84</v>
      </c>
      <c r="D224" t="s">
        <v>10</v>
      </c>
      <c r="E224" t="s">
        <v>11</v>
      </c>
      <c r="F224" t="s">
        <v>18</v>
      </c>
      <c r="G224" t="s">
        <v>40</v>
      </c>
      <c r="H224">
        <v>1510</v>
      </c>
      <c r="I224" t="s">
        <v>20</v>
      </c>
      <c r="J224" t="str">
        <f t="shared" si="9"/>
        <v>Senior</v>
      </c>
      <c r="K224" t="str">
        <f t="shared" si="10"/>
        <v>June</v>
      </c>
      <c r="L224">
        <f t="shared" si="11"/>
        <v>2024</v>
      </c>
    </row>
    <row r="225" spans="1:12" x14ac:dyDescent="0.25">
      <c r="A225" t="s">
        <v>255</v>
      </c>
      <c r="B225" s="1">
        <v>45448.830443159721</v>
      </c>
      <c r="C225">
        <v>25</v>
      </c>
      <c r="D225" t="s">
        <v>10</v>
      </c>
      <c r="E225" t="s">
        <v>36</v>
      </c>
      <c r="F225" t="s">
        <v>31</v>
      </c>
      <c r="G225" t="s">
        <v>19</v>
      </c>
      <c r="H225">
        <v>2385</v>
      </c>
      <c r="I225" t="s">
        <v>14</v>
      </c>
      <c r="J225" t="str">
        <f t="shared" si="9"/>
        <v>Adult</v>
      </c>
      <c r="K225" t="str">
        <f t="shared" si="10"/>
        <v>June</v>
      </c>
      <c r="L225">
        <f t="shared" si="11"/>
        <v>2024</v>
      </c>
    </row>
    <row r="226" spans="1:12" x14ac:dyDescent="0.25">
      <c r="A226" t="s">
        <v>256</v>
      </c>
      <c r="B226" s="1">
        <v>45449.533718680555</v>
      </c>
      <c r="C226">
        <v>21</v>
      </c>
      <c r="D226" t="s">
        <v>16</v>
      </c>
      <c r="E226" t="s">
        <v>28</v>
      </c>
      <c r="F226" t="s">
        <v>50</v>
      </c>
      <c r="G226" t="s">
        <v>26</v>
      </c>
      <c r="H226">
        <v>307</v>
      </c>
      <c r="I226" t="s">
        <v>20</v>
      </c>
      <c r="J226" t="str">
        <f t="shared" si="9"/>
        <v>Adult</v>
      </c>
      <c r="K226" t="str">
        <f t="shared" si="10"/>
        <v>June</v>
      </c>
      <c r="L226">
        <f t="shared" si="11"/>
        <v>2024</v>
      </c>
    </row>
    <row r="227" spans="1:12" x14ac:dyDescent="0.25">
      <c r="A227" t="s">
        <v>257</v>
      </c>
      <c r="B227" s="1">
        <v>45450.236994212966</v>
      </c>
      <c r="C227">
        <v>45</v>
      </c>
      <c r="D227" t="s">
        <v>10</v>
      </c>
      <c r="E227" t="s">
        <v>11</v>
      </c>
      <c r="F227" t="s">
        <v>50</v>
      </c>
      <c r="G227" t="s">
        <v>13</v>
      </c>
      <c r="H227">
        <v>1522</v>
      </c>
      <c r="I227" t="s">
        <v>14</v>
      </c>
      <c r="J227" t="str">
        <f t="shared" si="9"/>
        <v>Middle Age</v>
      </c>
      <c r="K227" t="str">
        <f t="shared" si="10"/>
        <v>June</v>
      </c>
      <c r="L227">
        <f t="shared" si="11"/>
        <v>2024</v>
      </c>
    </row>
    <row r="228" spans="1:12" x14ac:dyDescent="0.25">
      <c r="A228" t="s">
        <v>258</v>
      </c>
      <c r="B228" s="1">
        <v>45450.94026974537</v>
      </c>
      <c r="C228">
        <v>16</v>
      </c>
      <c r="D228" t="s">
        <v>16</v>
      </c>
      <c r="E228" t="s">
        <v>11</v>
      </c>
      <c r="F228" t="s">
        <v>18</v>
      </c>
      <c r="G228" t="s">
        <v>40</v>
      </c>
      <c r="H228">
        <v>1052</v>
      </c>
      <c r="I228" t="s">
        <v>20</v>
      </c>
      <c r="J228" t="str">
        <f t="shared" si="9"/>
        <v>Child</v>
      </c>
      <c r="K228" t="str">
        <f t="shared" si="10"/>
        <v>June</v>
      </c>
      <c r="L228">
        <f t="shared" si="11"/>
        <v>2024</v>
      </c>
    </row>
    <row r="229" spans="1:12" x14ac:dyDescent="0.25">
      <c r="A229" t="s">
        <v>259</v>
      </c>
      <c r="B229" s="1">
        <v>45451.643545277781</v>
      </c>
      <c r="C229">
        <v>31</v>
      </c>
      <c r="D229" t="s">
        <v>16</v>
      </c>
      <c r="E229" t="s">
        <v>17</v>
      </c>
      <c r="F229" t="s">
        <v>12</v>
      </c>
      <c r="G229" t="s">
        <v>40</v>
      </c>
      <c r="H229">
        <v>1489</v>
      </c>
      <c r="I229" t="s">
        <v>14</v>
      </c>
      <c r="J229" t="str">
        <f t="shared" si="9"/>
        <v>Adult</v>
      </c>
      <c r="K229" t="str">
        <f t="shared" si="10"/>
        <v>June</v>
      </c>
      <c r="L229">
        <f t="shared" si="11"/>
        <v>2024</v>
      </c>
    </row>
    <row r="230" spans="1:12" x14ac:dyDescent="0.25">
      <c r="A230" t="s">
        <v>260</v>
      </c>
      <c r="B230" s="1">
        <v>45452.346820798608</v>
      </c>
      <c r="C230">
        <v>15</v>
      </c>
      <c r="D230" t="s">
        <v>10</v>
      </c>
      <c r="E230" t="s">
        <v>17</v>
      </c>
      <c r="F230" t="s">
        <v>31</v>
      </c>
      <c r="G230" t="s">
        <v>13</v>
      </c>
      <c r="H230">
        <v>1780</v>
      </c>
      <c r="I230" t="s">
        <v>14</v>
      </c>
      <c r="J230" t="str">
        <f t="shared" si="9"/>
        <v>Child</v>
      </c>
      <c r="K230" t="str">
        <f t="shared" si="10"/>
        <v>June</v>
      </c>
      <c r="L230">
        <f t="shared" si="11"/>
        <v>2024</v>
      </c>
    </row>
    <row r="231" spans="1:12" x14ac:dyDescent="0.25">
      <c r="A231" t="s">
        <v>261</v>
      </c>
      <c r="B231" s="1">
        <v>45453.050096331019</v>
      </c>
      <c r="C231">
        <v>20</v>
      </c>
      <c r="D231" t="s">
        <v>10</v>
      </c>
      <c r="E231" t="s">
        <v>52</v>
      </c>
      <c r="F231" t="s">
        <v>31</v>
      </c>
      <c r="G231" t="s">
        <v>19</v>
      </c>
      <c r="H231">
        <v>664</v>
      </c>
      <c r="I231" t="s">
        <v>20</v>
      </c>
      <c r="J231" t="str">
        <f t="shared" si="9"/>
        <v>Adult</v>
      </c>
      <c r="K231" t="str">
        <f t="shared" si="10"/>
        <v>June</v>
      </c>
      <c r="L231">
        <f t="shared" si="11"/>
        <v>2024</v>
      </c>
    </row>
    <row r="232" spans="1:12" x14ac:dyDescent="0.25">
      <c r="A232" t="s">
        <v>262</v>
      </c>
      <c r="B232" s="1">
        <v>45453.753371863429</v>
      </c>
      <c r="C232">
        <v>27</v>
      </c>
      <c r="D232" t="s">
        <v>16</v>
      </c>
      <c r="E232" t="s">
        <v>22</v>
      </c>
      <c r="F232" t="s">
        <v>12</v>
      </c>
      <c r="G232" t="s">
        <v>13</v>
      </c>
      <c r="H232">
        <v>2781</v>
      </c>
      <c r="I232" t="s">
        <v>20</v>
      </c>
      <c r="J232" t="str">
        <f t="shared" si="9"/>
        <v>Adult</v>
      </c>
      <c r="K232" t="str">
        <f t="shared" si="10"/>
        <v>June</v>
      </c>
      <c r="L232">
        <f t="shared" si="11"/>
        <v>2024</v>
      </c>
    </row>
    <row r="233" spans="1:12" x14ac:dyDescent="0.25">
      <c r="A233" t="s">
        <v>263</v>
      </c>
      <c r="B233" s="1">
        <v>45454.456647395833</v>
      </c>
      <c r="C233">
        <v>87</v>
      </c>
      <c r="D233" t="s">
        <v>10</v>
      </c>
      <c r="E233" t="s">
        <v>30</v>
      </c>
      <c r="F233" t="s">
        <v>23</v>
      </c>
      <c r="G233" t="s">
        <v>19</v>
      </c>
      <c r="H233">
        <v>1241</v>
      </c>
      <c r="I233" t="s">
        <v>14</v>
      </c>
      <c r="J233" t="str">
        <f t="shared" si="9"/>
        <v>Senior</v>
      </c>
      <c r="K233" t="str">
        <f t="shared" si="10"/>
        <v>June</v>
      </c>
      <c r="L233">
        <f t="shared" si="11"/>
        <v>2024</v>
      </c>
    </row>
    <row r="234" spans="1:12" x14ac:dyDescent="0.25">
      <c r="A234" t="s">
        <v>264</v>
      </c>
      <c r="B234" s="1">
        <v>45455.159922928244</v>
      </c>
      <c r="C234">
        <v>8</v>
      </c>
      <c r="D234" t="s">
        <v>16</v>
      </c>
      <c r="E234" t="s">
        <v>52</v>
      </c>
      <c r="F234" t="s">
        <v>25</v>
      </c>
      <c r="G234" t="s">
        <v>13</v>
      </c>
      <c r="H234">
        <v>2226</v>
      </c>
      <c r="I234" t="s">
        <v>20</v>
      </c>
      <c r="J234" t="str">
        <f t="shared" si="9"/>
        <v>Child</v>
      </c>
      <c r="K234" t="str">
        <f t="shared" si="10"/>
        <v>June</v>
      </c>
      <c r="L234">
        <f t="shared" si="11"/>
        <v>2024</v>
      </c>
    </row>
    <row r="235" spans="1:12" x14ac:dyDescent="0.25">
      <c r="A235" t="s">
        <v>265</v>
      </c>
      <c r="B235" s="1">
        <v>45455.863198449071</v>
      </c>
      <c r="C235">
        <v>54</v>
      </c>
      <c r="D235" t="s">
        <v>16</v>
      </c>
      <c r="E235" t="s">
        <v>28</v>
      </c>
      <c r="F235" t="s">
        <v>23</v>
      </c>
      <c r="G235" t="s">
        <v>13</v>
      </c>
      <c r="H235">
        <v>2271</v>
      </c>
      <c r="I235" t="s">
        <v>14</v>
      </c>
      <c r="J235" t="str">
        <f t="shared" si="9"/>
        <v>Middle Age</v>
      </c>
      <c r="K235" t="str">
        <f t="shared" si="10"/>
        <v>June</v>
      </c>
      <c r="L235">
        <f t="shared" si="11"/>
        <v>2024</v>
      </c>
    </row>
    <row r="236" spans="1:12" x14ac:dyDescent="0.25">
      <c r="A236" t="s">
        <v>266</v>
      </c>
      <c r="B236" s="1">
        <v>45456.566473981482</v>
      </c>
      <c r="C236">
        <v>48</v>
      </c>
      <c r="D236" t="s">
        <v>10</v>
      </c>
      <c r="E236" t="s">
        <v>52</v>
      </c>
      <c r="F236" t="s">
        <v>25</v>
      </c>
      <c r="G236" t="s">
        <v>13</v>
      </c>
      <c r="H236">
        <v>2609</v>
      </c>
      <c r="I236" t="s">
        <v>14</v>
      </c>
      <c r="J236" t="str">
        <f t="shared" si="9"/>
        <v>Middle Age</v>
      </c>
      <c r="K236" t="str">
        <f t="shared" si="10"/>
        <v>June</v>
      </c>
      <c r="L236">
        <f t="shared" si="11"/>
        <v>2024</v>
      </c>
    </row>
    <row r="237" spans="1:12" x14ac:dyDescent="0.25">
      <c r="A237" t="s">
        <v>267</v>
      </c>
      <c r="B237" s="1">
        <v>45457.269749513885</v>
      </c>
      <c r="C237">
        <v>61</v>
      </c>
      <c r="D237" t="s">
        <v>10</v>
      </c>
      <c r="E237" t="s">
        <v>36</v>
      </c>
      <c r="F237" t="s">
        <v>18</v>
      </c>
      <c r="G237" t="s">
        <v>13</v>
      </c>
      <c r="H237">
        <v>463</v>
      </c>
      <c r="I237" t="s">
        <v>14</v>
      </c>
      <c r="J237" t="str">
        <f t="shared" si="9"/>
        <v>Senior</v>
      </c>
      <c r="K237" t="str">
        <f t="shared" si="10"/>
        <v>June</v>
      </c>
      <c r="L237">
        <f t="shared" si="11"/>
        <v>2024</v>
      </c>
    </row>
    <row r="238" spans="1:12" x14ac:dyDescent="0.25">
      <c r="A238" t="s">
        <v>268</v>
      </c>
      <c r="B238" s="1">
        <v>45457.973025046296</v>
      </c>
      <c r="C238">
        <v>35</v>
      </c>
      <c r="D238" t="s">
        <v>16</v>
      </c>
      <c r="E238" t="s">
        <v>33</v>
      </c>
      <c r="F238" t="s">
        <v>34</v>
      </c>
      <c r="G238" t="s">
        <v>40</v>
      </c>
      <c r="H238">
        <v>2718</v>
      </c>
      <c r="I238" t="s">
        <v>20</v>
      </c>
      <c r="J238" t="str">
        <f t="shared" si="9"/>
        <v>Adult</v>
      </c>
      <c r="K238" t="str">
        <f t="shared" si="10"/>
        <v>June</v>
      </c>
      <c r="L238">
        <f t="shared" si="11"/>
        <v>2024</v>
      </c>
    </row>
    <row r="239" spans="1:12" x14ac:dyDescent="0.25">
      <c r="A239" t="s">
        <v>269</v>
      </c>
      <c r="B239" s="1">
        <v>45458.676300567131</v>
      </c>
      <c r="C239">
        <v>33</v>
      </c>
      <c r="D239" t="s">
        <v>10</v>
      </c>
      <c r="E239" t="s">
        <v>22</v>
      </c>
      <c r="F239" t="s">
        <v>50</v>
      </c>
      <c r="G239" t="s">
        <v>26</v>
      </c>
      <c r="H239">
        <v>2218</v>
      </c>
      <c r="I239" t="s">
        <v>20</v>
      </c>
      <c r="J239" t="str">
        <f t="shared" si="9"/>
        <v>Adult</v>
      </c>
      <c r="K239" t="str">
        <f t="shared" si="10"/>
        <v>June</v>
      </c>
      <c r="L239">
        <f t="shared" si="11"/>
        <v>2024</v>
      </c>
    </row>
    <row r="240" spans="1:12" x14ac:dyDescent="0.25">
      <c r="A240" t="s">
        <v>270</v>
      </c>
      <c r="B240" s="1">
        <v>45459.379576099534</v>
      </c>
      <c r="C240">
        <v>20</v>
      </c>
      <c r="D240" t="s">
        <v>10</v>
      </c>
      <c r="E240" t="s">
        <v>33</v>
      </c>
      <c r="F240" t="s">
        <v>12</v>
      </c>
      <c r="G240" t="s">
        <v>19</v>
      </c>
      <c r="H240">
        <v>2252</v>
      </c>
      <c r="I240" t="s">
        <v>20</v>
      </c>
      <c r="J240" t="str">
        <f t="shared" si="9"/>
        <v>Adult</v>
      </c>
      <c r="K240" t="str">
        <f t="shared" si="10"/>
        <v>June</v>
      </c>
      <c r="L240">
        <f t="shared" si="11"/>
        <v>2024</v>
      </c>
    </row>
    <row r="241" spans="1:12" x14ac:dyDescent="0.25">
      <c r="A241" t="s">
        <v>271</v>
      </c>
      <c r="B241" s="1">
        <v>45460.082851631945</v>
      </c>
      <c r="C241">
        <v>68</v>
      </c>
      <c r="D241" t="s">
        <v>16</v>
      </c>
      <c r="E241" t="s">
        <v>33</v>
      </c>
      <c r="F241" t="s">
        <v>12</v>
      </c>
      <c r="G241" t="s">
        <v>19</v>
      </c>
      <c r="H241">
        <v>2476</v>
      </c>
      <c r="I241" t="s">
        <v>14</v>
      </c>
      <c r="J241" t="str">
        <f t="shared" si="9"/>
        <v>Senior</v>
      </c>
      <c r="K241" t="str">
        <f t="shared" si="10"/>
        <v>June</v>
      </c>
      <c r="L241">
        <f t="shared" si="11"/>
        <v>2024</v>
      </c>
    </row>
    <row r="242" spans="1:12" x14ac:dyDescent="0.25">
      <c r="A242" t="s">
        <v>272</v>
      </c>
      <c r="B242" s="1">
        <v>45460.786127164349</v>
      </c>
      <c r="C242">
        <v>25</v>
      </c>
      <c r="D242" t="s">
        <v>16</v>
      </c>
      <c r="E242" t="s">
        <v>28</v>
      </c>
      <c r="F242" t="s">
        <v>31</v>
      </c>
      <c r="G242" t="s">
        <v>19</v>
      </c>
      <c r="H242">
        <v>2741</v>
      </c>
      <c r="I242" t="s">
        <v>20</v>
      </c>
      <c r="J242" t="str">
        <f t="shared" si="9"/>
        <v>Adult</v>
      </c>
      <c r="K242" t="str">
        <f t="shared" si="10"/>
        <v>June</v>
      </c>
      <c r="L242">
        <f t="shared" si="11"/>
        <v>2024</v>
      </c>
    </row>
    <row r="243" spans="1:12" x14ac:dyDescent="0.25">
      <c r="A243" t="s">
        <v>273</v>
      </c>
      <c r="B243" s="1">
        <v>45461.489402696759</v>
      </c>
      <c r="C243">
        <v>84</v>
      </c>
      <c r="D243" t="s">
        <v>16</v>
      </c>
      <c r="E243" t="s">
        <v>17</v>
      </c>
      <c r="F243" t="s">
        <v>25</v>
      </c>
      <c r="G243" t="s">
        <v>19</v>
      </c>
      <c r="H243">
        <v>583</v>
      </c>
      <c r="I243" t="s">
        <v>14</v>
      </c>
      <c r="J243" t="str">
        <f t="shared" si="9"/>
        <v>Senior</v>
      </c>
      <c r="K243" t="str">
        <f t="shared" si="10"/>
        <v>June</v>
      </c>
      <c r="L243">
        <f t="shared" si="11"/>
        <v>2024</v>
      </c>
    </row>
    <row r="244" spans="1:12" x14ac:dyDescent="0.25">
      <c r="A244" t="s">
        <v>274</v>
      </c>
      <c r="B244" s="1">
        <v>45462.192678217594</v>
      </c>
      <c r="C244">
        <v>39</v>
      </c>
      <c r="D244" t="s">
        <v>16</v>
      </c>
      <c r="E244" t="s">
        <v>11</v>
      </c>
      <c r="F244" t="s">
        <v>50</v>
      </c>
      <c r="G244" t="s">
        <v>13</v>
      </c>
      <c r="H244">
        <v>1157</v>
      </c>
      <c r="I244" t="s">
        <v>14</v>
      </c>
      <c r="J244" t="str">
        <f t="shared" si="9"/>
        <v>Adult</v>
      </c>
      <c r="K244" t="str">
        <f t="shared" si="10"/>
        <v>June</v>
      </c>
      <c r="L244">
        <f t="shared" si="11"/>
        <v>2024</v>
      </c>
    </row>
    <row r="245" spans="1:12" x14ac:dyDescent="0.25">
      <c r="A245" t="s">
        <v>275</v>
      </c>
      <c r="B245" s="1">
        <v>45462.895953749998</v>
      </c>
      <c r="C245">
        <v>48</v>
      </c>
      <c r="D245" t="s">
        <v>16</v>
      </c>
      <c r="E245" t="s">
        <v>17</v>
      </c>
      <c r="F245" t="s">
        <v>12</v>
      </c>
      <c r="G245" t="s">
        <v>40</v>
      </c>
      <c r="H245">
        <v>1409</v>
      </c>
      <c r="I245" t="s">
        <v>20</v>
      </c>
      <c r="J245" t="str">
        <f t="shared" si="9"/>
        <v>Middle Age</v>
      </c>
      <c r="K245" t="str">
        <f t="shared" si="10"/>
        <v>June</v>
      </c>
      <c r="L245">
        <f t="shared" si="11"/>
        <v>2024</v>
      </c>
    </row>
    <row r="246" spans="1:12" x14ac:dyDescent="0.25">
      <c r="A246" t="s">
        <v>276</v>
      </c>
      <c r="B246" s="1">
        <v>45463.599229282408</v>
      </c>
      <c r="C246">
        <v>6</v>
      </c>
      <c r="D246" t="s">
        <v>16</v>
      </c>
      <c r="E246" t="s">
        <v>17</v>
      </c>
      <c r="F246" t="s">
        <v>12</v>
      </c>
      <c r="G246" t="s">
        <v>26</v>
      </c>
      <c r="H246">
        <v>496</v>
      </c>
      <c r="I246" t="s">
        <v>14</v>
      </c>
      <c r="J246" t="str">
        <f t="shared" si="9"/>
        <v>Child</v>
      </c>
      <c r="K246" t="str">
        <f t="shared" si="10"/>
        <v>June</v>
      </c>
      <c r="L246">
        <f t="shared" si="11"/>
        <v>2024</v>
      </c>
    </row>
    <row r="247" spans="1:12" x14ac:dyDescent="0.25">
      <c r="A247" t="s">
        <v>277</v>
      </c>
      <c r="B247" s="1">
        <v>45464.302504814812</v>
      </c>
      <c r="C247">
        <v>80</v>
      </c>
      <c r="D247" t="s">
        <v>16</v>
      </c>
      <c r="E247" t="s">
        <v>33</v>
      </c>
      <c r="F247" t="s">
        <v>34</v>
      </c>
      <c r="G247" t="s">
        <v>13</v>
      </c>
      <c r="H247">
        <v>1911</v>
      </c>
      <c r="I247" t="s">
        <v>20</v>
      </c>
      <c r="J247" t="str">
        <f t="shared" si="9"/>
        <v>Senior</v>
      </c>
      <c r="K247" t="str">
        <f t="shared" si="10"/>
        <v>June</v>
      </c>
      <c r="L247">
        <f t="shared" si="11"/>
        <v>2024</v>
      </c>
    </row>
    <row r="248" spans="1:12" x14ac:dyDescent="0.25">
      <c r="A248" t="s">
        <v>278</v>
      </c>
      <c r="B248" s="1">
        <v>45465.005780335647</v>
      </c>
      <c r="C248">
        <v>64</v>
      </c>
      <c r="D248" t="s">
        <v>16</v>
      </c>
      <c r="E248" t="s">
        <v>17</v>
      </c>
      <c r="F248" t="s">
        <v>23</v>
      </c>
      <c r="G248" t="s">
        <v>26</v>
      </c>
      <c r="H248">
        <v>560</v>
      </c>
      <c r="I248" t="s">
        <v>14</v>
      </c>
      <c r="J248" t="str">
        <f t="shared" si="9"/>
        <v>Senior</v>
      </c>
      <c r="K248" t="str">
        <f t="shared" si="10"/>
        <v>June</v>
      </c>
      <c r="L248">
        <f t="shared" si="11"/>
        <v>2024</v>
      </c>
    </row>
    <row r="249" spans="1:12" x14ac:dyDescent="0.25">
      <c r="A249" t="s">
        <v>279</v>
      </c>
      <c r="B249" s="1">
        <v>45465.709055868057</v>
      </c>
      <c r="C249">
        <v>88</v>
      </c>
      <c r="D249" t="s">
        <v>10</v>
      </c>
      <c r="E249" t="s">
        <v>30</v>
      </c>
      <c r="F249" t="s">
        <v>50</v>
      </c>
      <c r="G249" t="s">
        <v>40</v>
      </c>
      <c r="H249">
        <v>2874</v>
      </c>
      <c r="I249" t="s">
        <v>14</v>
      </c>
      <c r="J249" t="str">
        <f t="shared" si="9"/>
        <v>Senior</v>
      </c>
      <c r="K249" t="str">
        <f t="shared" si="10"/>
        <v>June</v>
      </c>
      <c r="L249">
        <f t="shared" si="11"/>
        <v>2024</v>
      </c>
    </row>
    <row r="250" spans="1:12" x14ac:dyDescent="0.25">
      <c r="A250" t="s">
        <v>280</v>
      </c>
      <c r="B250" s="1">
        <v>45466.412331400461</v>
      </c>
      <c r="C250">
        <v>33</v>
      </c>
      <c r="D250" t="s">
        <v>16</v>
      </c>
      <c r="E250" t="s">
        <v>17</v>
      </c>
      <c r="F250" t="s">
        <v>50</v>
      </c>
      <c r="G250" t="s">
        <v>26</v>
      </c>
      <c r="H250">
        <v>1530</v>
      </c>
      <c r="I250" t="s">
        <v>14</v>
      </c>
      <c r="J250" t="str">
        <f t="shared" si="9"/>
        <v>Adult</v>
      </c>
      <c r="K250" t="str">
        <f t="shared" si="10"/>
        <v>June</v>
      </c>
      <c r="L250">
        <f t="shared" si="11"/>
        <v>2024</v>
      </c>
    </row>
    <row r="251" spans="1:12" x14ac:dyDescent="0.25">
      <c r="A251" t="s">
        <v>281</v>
      </c>
      <c r="B251" s="1">
        <v>45467.115606932872</v>
      </c>
      <c r="C251">
        <v>43</v>
      </c>
      <c r="D251" t="s">
        <v>16</v>
      </c>
      <c r="E251" t="s">
        <v>52</v>
      </c>
      <c r="F251" t="s">
        <v>18</v>
      </c>
      <c r="G251" t="s">
        <v>26</v>
      </c>
      <c r="H251">
        <v>1053</v>
      </c>
      <c r="I251" t="s">
        <v>20</v>
      </c>
      <c r="J251" t="str">
        <f t="shared" si="9"/>
        <v>Middle Age</v>
      </c>
      <c r="K251" t="str">
        <f t="shared" si="10"/>
        <v>June</v>
      </c>
      <c r="L251">
        <f t="shared" si="11"/>
        <v>2024</v>
      </c>
    </row>
    <row r="252" spans="1:12" x14ac:dyDescent="0.25">
      <c r="A252" t="s">
        <v>282</v>
      </c>
      <c r="B252" s="1">
        <v>45467.818882465275</v>
      </c>
      <c r="C252">
        <v>75</v>
      </c>
      <c r="D252" t="s">
        <v>10</v>
      </c>
      <c r="E252" t="s">
        <v>33</v>
      </c>
      <c r="F252" t="s">
        <v>50</v>
      </c>
      <c r="G252" t="s">
        <v>13</v>
      </c>
      <c r="H252">
        <v>2733</v>
      </c>
      <c r="I252" t="s">
        <v>14</v>
      </c>
      <c r="J252" t="str">
        <f t="shared" si="9"/>
        <v>Senior</v>
      </c>
      <c r="K252" t="str">
        <f t="shared" si="10"/>
        <v>June</v>
      </c>
      <c r="L252">
        <f t="shared" si="11"/>
        <v>2024</v>
      </c>
    </row>
    <row r="253" spans="1:12" x14ac:dyDescent="0.25">
      <c r="A253" t="s">
        <v>283</v>
      </c>
      <c r="B253" s="1">
        <v>45468.52215798611</v>
      </c>
      <c r="C253">
        <v>67</v>
      </c>
      <c r="D253" t="s">
        <v>16</v>
      </c>
      <c r="E253" t="s">
        <v>36</v>
      </c>
      <c r="F253" t="s">
        <v>34</v>
      </c>
      <c r="G253" t="s">
        <v>40</v>
      </c>
      <c r="H253">
        <v>2705</v>
      </c>
      <c r="I253" t="s">
        <v>20</v>
      </c>
      <c r="J253" t="str">
        <f t="shared" si="9"/>
        <v>Senior</v>
      </c>
      <c r="K253" t="str">
        <f t="shared" si="10"/>
        <v>June</v>
      </c>
      <c r="L253">
        <f t="shared" si="11"/>
        <v>2024</v>
      </c>
    </row>
    <row r="254" spans="1:12" x14ac:dyDescent="0.25">
      <c r="A254" t="s">
        <v>284</v>
      </c>
      <c r="B254" s="1">
        <v>45469.225433518521</v>
      </c>
      <c r="C254">
        <v>89</v>
      </c>
      <c r="D254" t="s">
        <v>16</v>
      </c>
      <c r="E254" t="s">
        <v>11</v>
      </c>
      <c r="F254" t="s">
        <v>34</v>
      </c>
      <c r="G254" t="s">
        <v>13</v>
      </c>
      <c r="H254">
        <v>2174</v>
      </c>
      <c r="I254" t="s">
        <v>20</v>
      </c>
      <c r="J254" t="str">
        <f t="shared" si="9"/>
        <v>Senior</v>
      </c>
      <c r="K254" t="str">
        <f t="shared" si="10"/>
        <v>June</v>
      </c>
      <c r="L254">
        <f t="shared" si="11"/>
        <v>2024</v>
      </c>
    </row>
    <row r="255" spans="1:12" x14ac:dyDescent="0.25">
      <c r="A255" t="s">
        <v>285</v>
      </c>
      <c r="B255" s="1">
        <v>45469.928709050924</v>
      </c>
      <c r="C255">
        <v>31</v>
      </c>
      <c r="D255" t="s">
        <v>16</v>
      </c>
      <c r="E255" t="s">
        <v>17</v>
      </c>
      <c r="F255" t="s">
        <v>18</v>
      </c>
      <c r="G255" t="s">
        <v>40</v>
      </c>
      <c r="H255">
        <v>1146</v>
      </c>
      <c r="I255" t="s">
        <v>20</v>
      </c>
      <c r="J255" t="str">
        <f t="shared" si="9"/>
        <v>Adult</v>
      </c>
      <c r="K255" t="str">
        <f t="shared" si="10"/>
        <v>June</v>
      </c>
      <c r="L255">
        <f t="shared" si="11"/>
        <v>2024</v>
      </c>
    </row>
    <row r="256" spans="1:12" x14ac:dyDescent="0.25">
      <c r="A256" t="s">
        <v>286</v>
      </c>
      <c r="B256" s="1">
        <v>45470.631984583335</v>
      </c>
      <c r="C256">
        <v>18</v>
      </c>
      <c r="D256" t="s">
        <v>10</v>
      </c>
      <c r="E256" t="s">
        <v>28</v>
      </c>
      <c r="F256" t="s">
        <v>25</v>
      </c>
      <c r="G256" t="s">
        <v>19</v>
      </c>
      <c r="H256">
        <v>1772</v>
      </c>
      <c r="I256" t="s">
        <v>14</v>
      </c>
      <c r="J256" t="str">
        <f t="shared" si="9"/>
        <v>Adult</v>
      </c>
      <c r="K256" t="str">
        <f t="shared" si="10"/>
        <v>June</v>
      </c>
      <c r="L256">
        <f t="shared" si="11"/>
        <v>2024</v>
      </c>
    </row>
    <row r="257" spans="1:12" x14ac:dyDescent="0.25">
      <c r="A257" t="s">
        <v>287</v>
      </c>
      <c r="B257" s="1">
        <v>45471.33526010417</v>
      </c>
      <c r="C257">
        <v>69</v>
      </c>
      <c r="D257" t="s">
        <v>10</v>
      </c>
      <c r="E257" t="s">
        <v>33</v>
      </c>
      <c r="F257" t="s">
        <v>18</v>
      </c>
      <c r="G257" t="s">
        <v>19</v>
      </c>
      <c r="H257">
        <v>1910</v>
      </c>
      <c r="I257" t="s">
        <v>20</v>
      </c>
      <c r="J257" t="str">
        <f t="shared" si="9"/>
        <v>Senior</v>
      </c>
      <c r="K257" t="str">
        <f t="shared" si="10"/>
        <v>June</v>
      </c>
      <c r="L257">
        <f t="shared" si="11"/>
        <v>2024</v>
      </c>
    </row>
    <row r="258" spans="1:12" x14ac:dyDescent="0.25">
      <c r="A258" t="s">
        <v>288</v>
      </c>
      <c r="B258" s="1">
        <v>45472.038535636573</v>
      </c>
      <c r="C258">
        <v>65</v>
      </c>
      <c r="D258" t="s">
        <v>10</v>
      </c>
      <c r="E258" t="s">
        <v>36</v>
      </c>
      <c r="F258" t="s">
        <v>23</v>
      </c>
      <c r="G258" t="s">
        <v>40</v>
      </c>
      <c r="H258">
        <v>1539</v>
      </c>
      <c r="I258" t="s">
        <v>14</v>
      </c>
      <c r="J258" t="str">
        <f t="shared" si="9"/>
        <v>Senior</v>
      </c>
      <c r="K258" t="str">
        <f t="shared" si="10"/>
        <v>June</v>
      </c>
      <c r="L258">
        <f t="shared" si="11"/>
        <v>2024</v>
      </c>
    </row>
    <row r="259" spans="1:12" x14ac:dyDescent="0.25">
      <c r="A259" t="s">
        <v>289</v>
      </c>
      <c r="B259" s="1">
        <v>45472.741811168984</v>
      </c>
      <c r="C259">
        <v>61</v>
      </c>
      <c r="D259" t="s">
        <v>10</v>
      </c>
      <c r="E259" t="s">
        <v>36</v>
      </c>
      <c r="F259" t="s">
        <v>18</v>
      </c>
      <c r="G259" t="s">
        <v>13</v>
      </c>
      <c r="H259">
        <v>2033</v>
      </c>
      <c r="I259" t="s">
        <v>14</v>
      </c>
      <c r="J259" t="str">
        <f t="shared" ref="J259:J322" si="12">IF(C259&lt;18,"Child",IF(C259&lt;=40,"Adult",IF(C259&lt;=60,"Middle Age","Senior")))</f>
        <v>Senior</v>
      </c>
      <c r="K259" t="str">
        <f t="shared" ref="K259:K322" si="13">TEXT(B259,"mmmm")</f>
        <v>June</v>
      </c>
      <c r="L259">
        <f t="shared" ref="L259:L322" si="14">YEAR(B259)</f>
        <v>2024</v>
      </c>
    </row>
    <row r="260" spans="1:12" x14ac:dyDescent="0.25">
      <c r="A260" t="s">
        <v>290</v>
      </c>
      <c r="B260" s="1">
        <v>45473.445086701387</v>
      </c>
      <c r="C260">
        <v>79</v>
      </c>
      <c r="D260" t="s">
        <v>10</v>
      </c>
      <c r="E260" t="s">
        <v>11</v>
      </c>
      <c r="F260" t="s">
        <v>12</v>
      </c>
      <c r="G260" t="s">
        <v>40</v>
      </c>
      <c r="H260">
        <v>2406</v>
      </c>
      <c r="I260" t="s">
        <v>14</v>
      </c>
      <c r="J260" t="str">
        <f t="shared" si="12"/>
        <v>Senior</v>
      </c>
      <c r="K260" t="str">
        <f t="shared" si="13"/>
        <v>June</v>
      </c>
      <c r="L260">
        <f t="shared" si="14"/>
        <v>2024</v>
      </c>
    </row>
    <row r="261" spans="1:12" x14ac:dyDescent="0.25">
      <c r="A261" t="s">
        <v>291</v>
      </c>
      <c r="B261" s="1">
        <v>45474.148362233798</v>
      </c>
      <c r="C261">
        <v>18</v>
      </c>
      <c r="D261" t="s">
        <v>10</v>
      </c>
      <c r="E261" t="s">
        <v>11</v>
      </c>
      <c r="F261" t="s">
        <v>25</v>
      </c>
      <c r="G261" t="s">
        <v>13</v>
      </c>
      <c r="H261">
        <v>2903</v>
      </c>
      <c r="I261" t="s">
        <v>20</v>
      </c>
      <c r="J261" t="str">
        <f t="shared" si="12"/>
        <v>Adult</v>
      </c>
      <c r="K261" t="str">
        <f t="shared" si="13"/>
        <v>July</v>
      </c>
      <c r="L261">
        <f t="shared" si="14"/>
        <v>2024</v>
      </c>
    </row>
    <row r="262" spans="1:12" x14ac:dyDescent="0.25">
      <c r="A262" t="s">
        <v>292</v>
      </c>
      <c r="B262" s="1">
        <v>45474.851637754633</v>
      </c>
      <c r="C262">
        <v>40</v>
      </c>
      <c r="D262" t="s">
        <v>10</v>
      </c>
      <c r="E262" t="s">
        <v>33</v>
      </c>
      <c r="F262" t="s">
        <v>25</v>
      </c>
      <c r="G262" t="s">
        <v>19</v>
      </c>
      <c r="H262">
        <v>997</v>
      </c>
      <c r="I262" t="s">
        <v>20</v>
      </c>
      <c r="J262" t="str">
        <f t="shared" si="12"/>
        <v>Adult</v>
      </c>
      <c r="K262" t="str">
        <f t="shared" si="13"/>
        <v>July</v>
      </c>
      <c r="L262">
        <f t="shared" si="14"/>
        <v>2024</v>
      </c>
    </row>
    <row r="263" spans="1:12" x14ac:dyDescent="0.25">
      <c r="A263" t="s">
        <v>293</v>
      </c>
      <c r="B263" s="1">
        <v>45475.554913287036</v>
      </c>
      <c r="C263">
        <v>36</v>
      </c>
      <c r="D263" t="s">
        <v>16</v>
      </c>
      <c r="E263" t="s">
        <v>22</v>
      </c>
      <c r="F263" t="s">
        <v>34</v>
      </c>
      <c r="G263" t="s">
        <v>40</v>
      </c>
      <c r="H263">
        <v>2866</v>
      </c>
      <c r="I263" t="s">
        <v>20</v>
      </c>
      <c r="J263" t="str">
        <f t="shared" si="12"/>
        <v>Adult</v>
      </c>
      <c r="K263" t="str">
        <f t="shared" si="13"/>
        <v>July</v>
      </c>
      <c r="L263">
        <f t="shared" si="14"/>
        <v>2024</v>
      </c>
    </row>
    <row r="264" spans="1:12" x14ac:dyDescent="0.25">
      <c r="A264" t="s">
        <v>294</v>
      </c>
      <c r="B264" s="1">
        <v>45476.258188819447</v>
      </c>
      <c r="C264">
        <v>82</v>
      </c>
      <c r="D264" t="s">
        <v>10</v>
      </c>
      <c r="E264" t="s">
        <v>28</v>
      </c>
      <c r="F264" t="s">
        <v>18</v>
      </c>
      <c r="G264" t="s">
        <v>26</v>
      </c>
      <c r="H264">
        <v>1993</v>
      </c>
      <c r="I264" t="s">
        <v>20</v>
      </c>
      <c r="J264" t="str">
        <f t="shared" si="12"/>
        <v>Senior</v>
      </c>
      <c r="K264" t="str">
        <f t="shared" si="13"/>
        <v>July</v>
      </c>
      <c r="L264">
        <f t="shared" si="14"/>
        <v>2024</v>
      </c>
    </row>
    <row r="265" spans="1:12" x14ac:dyDescent="0.25">
      <c r="A265" t="s">
        <v>295</v>
      </c>
      <c r="B265" s="1">
        <v>45476.961464351851</v>
      </c>
      <c r="C265">
        <v>29</v>
      </c>
      <c r="D265" t="s">
        <v>16</v>
      </c>
      <c r="E265" t="s">
        <v>30</v>
      </c>
      <c r="F265" t="s">
        <v>18</v>
      </c>
      <c r="G265" t="s">
        <v>13</v>
      </c>
      <c r="H265">
        <v>2331</v>
      </c>
      <c r="I265" t="s">
        <v>20</v>
      </c>
      <c r="J265" t="str">
        <f t="shared" si="12"/>
        <v>Adult</v>
      </c>
      <c r="K265" t="str">
        <f t="shared" si="13"/>
        <v>July</v>
      </c>
      <c r="L265">
        <f t="shared" si="14"/>
        <v>2024</v>
      </c>
    </row>
    <row r="266" spans="1:12" x14ac:dyDescent="0.25">
      <c r="A266" t="s">
        <v>296</v>
      </c>
      <c r="B266" s="1">
        <v>45477.664739884262</v>
      </c>
      <c r="C266">
        <v>23</v>
      </c>
      <c r="D266" t="s">
        <v>10</v>
      </c>
      <c r="E266" t="s">
        <v>36</v>
      </c>
      <c r="F266" t="s">
        <v>25</v>
      </c>
      <c r="G266" t="s">
        <v>26</v>
      </c>
      <c r="H266">
        <v>2504</v>
      </c>
      <c r="I266" t="s">
        <v>14</v>
      </c>
      <c r="J266" t="str">
        <f t="shared" si="12"/>
        <v>Adult</v>
      </c>
      <c r="K266" t="str">
        <f t="shared" si="13"/>
        <v>July</v>
      </c>
      <c r="L266">
        <f t="shared" si="14"/>
        <v>2024</v>
      </c>
    </row>
    <row r="267" spans="1:12" x14ac:dyDescent="0.25">
      <c r="A267" t="s">
        <v>297</v>
      </c>
      <c r="B267" s="1">
        <v>45478.368015405096</v>
      </c>
      <c r="C267">
        <v>39</v>
      </c>
      <c r="D267" t="s">
        <v>10</v>
      </c>
      <c r="E267" t="s">
        <v>28</v>
      </c>
      <c r="F267" t="s">
        <v>31</v>
      </c>
      <c r="G267" t="s">
        <v>26</v>
      </c>
      <c r="H267">
        <v>2697</v>
      </c>
      <c r="I267" t="s">
        <v>20</v>
      </c>
      <c r="J267" t="str">
        <f t="shared" si="12"/>
        <v>Adult</v>
      </c>
      <c r="K267" t="str">
        <f t="shared" si="13"/>
        <v>July</v>
      </c>
      <c r="L267">
        <f t="shared" si="14"/>
        <v>2024</v>
      </c>
    </row>
    <row r="268" spans="1:12" x14ac:dyDescent="0.25">
      <c r="A268" t="s">
        <v>298</v>
      </c>
      <c r="B268" s="1">
        <v>45479.0712909375</v>
      </c>
      <c r="C268">
        <v>42</v>
      </c>
      <c r="D268" t="s">
        <v>16</v>
      </c>
      <c r="E268" t="s">
        <v>52</v>
      </c>
      <c r="F268" t="s">
        <v>50</v>
      </c>
      <c r="G268" t="s">
        <v>19</v>
      </c>
      <c r="H268">
        <v>621</v>
      </c>
      <c r="I268" t="s">
        <v>14</v>
      </c>
      <c r="J268" t="str">
        <f t="shared" si="12"/>
        <v>Middle Age</v>
      </c>
      <c r="K268" t="str">
        <f t="shared" si="13"/>
        <v>July</v>
      </c>
      <c r="L268">
        <f t="shared" si="14"/>
        <v>2024</v>
      </c>
    </row>
    <row r="269" spans="1:12" x14ac:dyDescent="0.25">
      <c r="A269" t="s">
        <v>299</v>
      </c>
      <c r="B269" s="1">
        <v>45479.77456646991</v>
      </c>
      <c r="C269">
        <v>75</v>
      </c>
      <c r="D269" t="s">
        <v>16</v>
      </c>
      <c r="E269" t="s">
        <v>28</v>
      </c>
      <c r="F269" t="s">
        <v>34</v>
      </c>
      <c r="G269" t="s">
        <v>13</v>
      </c>
      <c r="H269">
        <v>570</v>
      </c>
      <c r="I269" t="s">
        <v>20</v>
      </c>
      <c r="J269" t="str">
        <f t="shared" si="12"/>
        <v>Senior</v>
      </c>
      <c r="K269" t="str">
        <f t="shared" si="13"/>
        <v>July</v>
      </c>
      <c r="L269">
        <f t="shared" si="14"/>
        <v>2024</v>
      </c>
    </row>
    <row r="270" spans="1:12" x14ac:dyDescent="0.25">
      <c r="A270" t="s">
        <v>300</v>
      </c>
      <c r="B270" s="1">
        <v>45480.477842002314</v>
      </c>
      <c r="C270">
        <v>78</v>
      </c>
      <c r="D270" t="s">
        <v>10</v>
      </c>
      <c r="E270" t="s">
        <v>28</v>
      </c>
      <c r="F270" t="s">
        <v>31</v>
      </c>
      <c r="G270" t="s">
        <v>19</v>
      </c>
      <c r="H270">
        <v>181</v>
      </c>
      <c r="I270" t="s">
        <v>20</v>
      </c>
      <c r="J270" t="str">
        <f t="shared" si="12"/>
        <v>Senior</v>
      </c>
      <c r="K270" t="str">
        <f t="shared" si="13"/>
        <v>July</v>
      </c>
      <c r="L270">
        <f t="shared" si="14"/>
        <v>2024</v>
      </c>
    </row>
    <row r="271" spans="1:12" x14ac:dyDescent="0.25">
      <c r="A271" t="s">
        <v>301</v>
      </c>
      <c r="B271" s="1">
        <v>45481.181117523149</v>
      </c>
      <c r="C271">
        <v>71</v>
      </c>
      <c r="D271" t="s">
        <v>10</v>
      </c>
      <c r="E271" t="s">
        <v>22</v>
      </c>
      <c r="F271" t="s">
        <v>12</v>
      </c>
      <c r="G271" t="s">
        <v>40</v>
      </c>
      <c r="H271">
        <v>535</v>
      </c>
      <c r="I271" t="s">
        <v>20</v>
      </c>
      <c r="J271" t="str">
        <f t="shared" si="12"/>
        <v>Senior</v>
      </c>
      <c r="K271" t="str">
        <f t="shared" si="13"/>
        <v>July</v>
      </c>
      <c r="L271">
        <f t="shared" si="14"/>
        <v>2024</v>
      </c>
    </row>
    <row r="272" spans="1:12" x14ac:dyDescent="0.25">
      <c r="A272" t="s">
        <v>302</v>
      </c>
      <c r="B272" s="1">
        <v>45481.884393055552</v>
      </c>
      <c r="C272">
        <v>26</v>
      </c>
      <c r="D272" t="s">
        <v>10</v>
      </c>
      <c r="E272" t="s">
        <v>22</v>
      </c>
      <c r="F272" t="s">
        <v>12</v>
      </c>
      <c r="G272" t="s">
        <v>19</v>
      </c>
      <c r="H272">
        <v>420</v>
      </c>
      <c r="I272" t="s">
        <v>20</v>
      </c>
      <c r="J272" t="str">
        <f t="shared" si="12"/>
        <v>Adult</v>
      </c>
      <c r="K272" t="str">
        <f t="shared" si="13"/>
        <v>July</v>
      </c>
      <c r="L272">
        <f t="shared" si="14"/>
        <v>2024</v>
      </c>
    </row>
    <row r="273" spans="1:12" x14ac:dyDescent="0.25">
      <c r="A273" t="s">
        <v>303</v>
      </c>
      <c r="B273" s="1">
        <v>45482.587668587963</v>
      </c>
      <c r="C273">
        <v>49</v>
      </c>
      <c r="D273" t="s">
        <v>10</v>
      </c>
      <c r="E273" t="s">
        <v>11</v>
      </c>
      <c r="F273" t="s">
        <v>18</v>
      </c>
      <c r="G273" t="s">
        <v>26</v>
      </c>
      <c r="H273">
        <v>2240</v>
      </c>
      <c r="I273" t="s">
        <v>20</v>
      </c>
      <c r="J273" t="str">
        <f t="shared" si="12"/>
        <v>Middle Age</v>
      </c>
      <c r="K273" t="str">
        <f t="shared" si="13"/>
        <v>July</v>
      </c>
      <c r="L273">
        <f t="shared" si="14"/>
        <v>2024</v>
      </c>
    </row>
    <row r="274" spans="1:12" x14ac:dyDescent="0.25">
      <c r="A274" t="s">
        <v>304</v>
      </c>
      <c r="B274" s="1">
        <v>45483.290944120374</v>
      </c>
      <c r="C274">
        <v>51</v>
      </c>
      <c r="D274" t="s">
        <v>10</v>
      </c>
      <c r="E274" t="s">
        <v>22</v>
      </c>
      <c r="F274" t="s">
        <v>31</v>
      </c>
      <c r="G274" t="s">
        <v>26</v>
      </c>
      <c r="H274">
        <v>2805</v>
      </c>
      <c r="I274" t="s">
        <v>14</v>
      </c>
      <c r="J274" t="str">
        <f t="shared" si="12"/>
        <v>Middle Age</v>
      </c>
      <c r="K274" t="str">
        <f t="shared" si="13"/>
        <v>July</v>
      </c>
      <c r="L274">
        <f t="shared" si="14"/>
        <v>2024</v>
      </c>
    </row>
    <row r="275" spans="1:12" x14ac:dyDescent="0.25">
      <c r="A275" t="s">
        <v>305</v>
      </c>
      <c r="B275" s="1">
        <v>45483.994219652777</v>
      </c>
      <c r="C275">
        <v>63</v>
      </c>
      <c r="D275" t="s">
        <v>10</v>
      </c>
      <c r="E275" t="s">
        <v>28</v>
      </c>
      <c r="F275" t="s">
        <v>31</v>
      </c>
      <c r="G275" t="s">
        <v>13</v>
      </c>
      <c r="H275">
        <v>2132</v>
      </c>
      <c r="I275" t="s">
        <v>20</v>
      </c>
      <c r="J275" t="str">
        <f t="shared" si="12"/>
        <v>Senior</v>
      </c>
      <c r="K275" t="str">
        <f t="shared" si="13"/>
        <v>July</v>
      </c>
      <c r="L275">
        <f t="shared" si="14"/>
        <v>2024</v>
      </c>
    </row>
    <row r="276" spans="1:12" x14ac:dyDescent="0.25">
      <c r="A276" t="s">
        <v>306</v>
      </c>
      <c r="B276" s="1">
        <v>45484.697495173612</v>
      </c>
      <c r="C276">
        <v>45</v>
      </c>
      <c r="D276" t="s">
        <v>10</v>
      </c>
      <c r="E276" t="s">
        <v>17</v>
      </c>
      <c r="F276" t="s">
        <v>50</v>
      </c>
      <c r="G276" t="s">
        <v>40</v>
      </c>
      <c r="H276">
        <v>2076</v>
      </c>
      <c r="I276" t="s">
        <v>14</v>
      </c>
      <c r="J276" t="str">
        <f t="shared" si="12"/>
        <v>Middle Age</v>
      </c>
      <c r="K276" t="str">
        <f t="shared" si="13"/>
        <v>July</v>
      </c>
      <c r="L276">
        <f t="shared" si="14"/>
        <v>2024</v>
      </c>
    </row>
    <row r="277" spans="1:12" x14ac:dyDescent="0.25">
      <c r="A277" t="s">
        <v>307</v>
      </c>
      <c r="B277" s="1">
        <v>45485.400770706015</v>
      </c>
      <c r="C277">
        <v>55</v>
      </c>
      <c r="D277" t="s">
        <v>10</v>
      </c>
      <c r="E277" t="s">
        <v>11</v>
      </c>
      <c r="F277" t="s">
        <v>18</v>
      </c>
      <c r="G277" t="s">
        <v>19</v>
      </c>
      <c r="H277">
        <v>2526</v>
      </c>
      <c r="I277" t="s">
        <v>20</v>
      </c>
      <c r="J277" t="str">
        <f t="shared" si="12"/>
        <v>Middle Age</v>
      </c>
      <c r="K277" t="str">
        <f t="shared" si="13"/>
        <v>July</v>
      </c>
      <c r="L277">
        <f t="shared" si="14"/>
        <v>2024</v>
      </c>
    </row>
    <row r="278" spans="1:12" x14ac:dyDescent="0.25">
      <c r="A278" t="s">
        <v>308</v>
      </c>
      <c r="B278" s="1">
        <v>45486.104046238426</v>
      </c>
      <c r="C278">
        <v>1</v>
      </c>
      <c r="D278" t="s">
        <v>10</v>
      </c>
      <c r="E278" t="s">
        <v>11</v>
      </c>
      <c r="F278" t="s">
        <v>34</v>
      </c>
      <c r="G278" t="s">
        <v>19</v>
      </c>
      <c r="H278">
        <v>2652</v>
      </c>
      <c r="I278" t="s">
        <v>20</v>
      </c>
      <c r="J278" t="str">
        <f t="shared" si="12"/>
        <v>Child</v>
      </c>
      <c r="K278" t="str">
        <f t="shared" si="13"/>
        <v>July</v>
      </c>
      <c r="L278">
        <f t="shared" si="14"/>
        <v>2024</v>
      </c>
    </row>
    <row r="279" spans="1:12" x14ac:dyDescent="0.25">
      <c r="A279" t="s">
        <v>309</v>
      </c>
      <c r="B279" s="1">
        <v>45486.80732177083</v>
      </c>
      <c r="C279">
        <v>87</v>
      </c>
      <c r="D279" t="s">
        <v>10</v>
      </c>
      <c r="E279" t="s">
        <v>11</v>
      </c>
      <c r="F279" t="s">
        <v>12</v>
      </c>
      <c r="G279" t="s">
        <v>40</v>
      </c>
      <c r="H279">
        <v>1748</v>
      </c>
      <c r="I279" t="s">
        <v>20</v>
      </c>
      <c r="J279" t="str">
        <f t="shared" si="12"/>
        <v>Senior</v>
      </c>
      <c r="K279" t="str">
        <f t="shared" si="13"/>
        <v>July</v>
      </c>
      <c r="L279">
        <f t="shared" si="14"/>
        <v>2024</v>
      </c>
    </row>
    <row r="280" spans="1:12" x14ac:dyDescent="0.25">
      <c r="A280" t="s">
        <v>310</v>
      </c>
      <c r="B280" s="1">
        <v>45487.510597291664</v>
      </c>
      <c r="C280">
        <v>17</v>
      </c>
      <c r="D280" t="s">
        <v>16</v>
      </c>
      <c r="E280" t="s">
        <v>22</v>
      </c>
      <c r="F280" t="s">
        <v>25</v>
      </c>
      <c r="G280" t="s">
        <v>40</v>
      </c>
      <c r="H280">
        <v>128</v>
      </c>
      <c r="I280" t="s">
        <v>14</v>
      </c>
      <c r="J280" t="str">
        <f t="shared" si="12"/>
        <v>Child</v>
      </c>
      <c r="K280" t="str">
        <f t="shared" si="13"/>
        <v>July</v>
      </c>
      <c r="L280">
        <f t="shared" si="14"/>
        <v>2024</v>
      </c>
    </row>
    <row r="281" spans="1:12" x14ac:dyDescent="0.25">
      <c r="A281" t="s">
        <v>311</v>
      </c>
      <c r="B281" s="1">
        <v>45488.213872824075</v>
      </c>
      <c r="C281">
        <v>20</v>
      </c>
      <c r="D281" t="s">
        <v>10</v>
      </c>
      <c r="E281" t="s">
        <v>22</v>
      </c>
      <c r="F281" t="s">
        <v>12</v>
      </c>
      <c r="G281" t="s">
        <v>26</v>
      </c>
      <c r="H281">
        <v>2526</v>
      </c>
      <c r="I281" t="s">
        <v>14</v>
      </c>
      <c r="J281" t="str">
        <f t="shared" si="12"/>
        <v>Adult</v>
      </c>
      <c r="K281" t="str">
        <f t="shared" si="13"/>
        <v>July</v>
      </c>
      <c r="L281">
        <f t="shared" si="14"/>
        <v>2024</v>
      </c>
    </row>
    <row r="282" spans="1:12" x14ac:dyDescent="0.25">
      <c r="A282" t="s">
        <v>312</v>
      </c>
      <c r="B282" s="1">
        <v>45488.917148356479</v>
      </c>
      <c r="C282">
        <v>10</v>
      </c>
      <c r="D282" t="s">
        <v>10</v>
      </c>
      <c r="E282" t="s">
        <v>11</v>
      </c>
      <c r="F282" t="s">
        <v>50</v>
      </c>
      <c r="G282" t="s">
        <v>26</v>
      </c>
      <c r="H282">
        <v>2414</v>
      </c>
      <c r="I282" t="s">
        <v>20</v>
      </c>
      <c r="J282" t="str">
        <f t="shared" si="12"/>
        <v>Child</v>
      </c>
      <c r="K282" t="str">
        <f t="shared" si="13"/>
        <v>July</v>
      </c>
      <c r="L282">
        <f t="shared" si="14"/>
        <v>2024</v>
      </c>
    </row>
    <row r="283" spans="1:12" x14ac:dyDescent="0.25">
      <c r="A283" t="s">
        <v>313</v>
      </c>
      <c r="B283" s="1">
        <v>45489.620423888889</v>
      </c>
      <c r="C283">
        <v>52</v>
      </c>
      <c r="D283" t="s">
        <v>10</v>
      </c>
      <c r="E283" t="s">
        <v>36</v>
      </c>
      <c r="F283" t="s">
        <v>18</v>
      </c>
      <c r="G283" t="s">
        <v>40</v>
      </c>
      <c r="H283">
        <v>2677</v>
      </c>
      <c r="I283" t="s">
        <v>14</v>
      </c>
      <c r="J283" t="str">
        <f t="shared" si="12"/>
        <v>Middle Age</v>
      </c>
      <c r="K283" t="str">
        <f t="shared" si="13"/>
        <v>July</v>
      </c>
      <c r="L283">
        <f t="shared" si="14"/>
        <v>2024</v>
      </c>
    </row>
    <row r="284" spans="1:12" x14ac:dyDescent="0.25">
      <c r="A284" t="s">
        <v>314</v>
      </c>
      <c r="B284" s="1">
        <v>45490.323699421293</v>
      </c>
      <c r="C284">
        <v>11</v>
      </c>
      <c r="D284" t="s">
        <v>16</v>
      </c>
      <c r="E284" t="s">
        <v>33</v>
      </c>
      <c r="F284" t="s">
        <v>23</v>
      </c>
      <c r="G284" t="s">
        <v>26</v>
      </c>
      <c r="H284">
        <v>1244</v>
      </c>
      <c r="I284" t="s">
        <v>14</v>
      </c>
      <c r="J284" t="str">
        <f t="shared" si="12"/>
        <v>Child</v>
      </c>
      <c r="K284" t="str">
        <f t="shared" si="13"/>
        <v>July</v>
      </c>
      <c r="L284">
        <f t="shared" si="14"/>
        <v>2024</v>
      </c>
    </row>
    <row r="285" spans="1:12" x14ac:dyDescent="0.25">
      <c r="A285" t="s">
        <v>315</v>
      </c>
      <c r="B285" s="1">
        <v>45491.026974942128</v>
      </c>
      <c r="C285">
        <v>69</v>
      </c>
      <c r="D285" t="s">
        <v>16</v>
      </c>
      <c r="E285" t="s">
        <v>30</v>
      </c>
      <c r="F285" t="s">
        <v>31</v>
      </c>
      <c r="G285" t="s">
        <v>13</v>
      </c>
      <c r="H285">
        <v>2504</v>
      </c>
      <c r="I285" t="s">
        <v>20</v>
      </c>
      <c r="J285" t="str">
        <f t="shared" si="12"/>
        <v>Senior</v>
      </c>
      <c r="K285" t="str">
        <f t="shared" si="13"/>
        <v>July</v>
      </c>
      <c r="L285">
        <f t="shared" si="14"/>
        <v>2024</v>
      </c>
    </row>
    <row r="286" spans="1:12" x14ac:dyDescent="0.25">
      <c r="A286" t="s">
        <v>316</v>
      </c>
      <c r="B286" s="1">
        <v>45491.730250474538</v>
      </c>
      <c r="C286">
        <v>24</v>
      </c>
      <c r="D286" t="s">
        <v>10</v>
      </c>
      <c r="E286" t="s">
        <v>17</v>
      </c>
      <c r="F286" t="s">
        <v>18</v>
      </c>
      <c r="G286" t="s">
        <v>19</v>
      </c>
      <c r="H286">
        <v>1270</v>
      </c>
      <c r="I286" t="s">
        <v>20</v>
      </c>
      <c r="J286" t="str">
        <f t="shared" si="12"/>
        <v>Adult</v>
      </c>
      <c r="K286" t="str">
        <f t="shared" si="13"/>
        <v>July</v>
      </c>
      <c r="L286">
        <f t="shared" si="14"/>
        <v>2024</v>
      </c>
    </row>
    <row r="287" spans="1:12" x14ac:dyDescent="0.25">
      <c r="A287" t="s">
        <v>317</v>
      </c>
      <c r="B287" s="1">
        <v>45492.433526006942</v>
      </c>
      <c r="C287">
        <v>15</v>
      </c>
      <c r="D287" t="s">
        <v>16</v>
      </c>
      <c r="E287" t="s">
        <v>30</v>
      </c>
      <c r="F287" t="s">
        <v>31</v>
      </c>
      <c r="G287" t="s">
        <v>13</v>
      </c>
      <c r="H287">
        <v>2987</v>
      </c>
      <c r="I287" t="s">
        <v>14</v>
      </c>
      <c r="J287" t="str">
        <f t="shared" si="12"/>
        <v>Child</v>
      </c>
      <c r="K287" t="str">
        <f t="shared" si="13"/>
        <v>July</v>
      </c>
      <c r="L287">
        <f t="shared" si="14"/>
        <v>2024</v>
      </c>
    </row>
    <row r="288" spans="1:12" x14ac:dyDescent="0.25">
      <c r="A288" t="s">
        <v>318</v>
      </c>
      <c r="B288" s="1">
        <v>45493.136801539353</v>
      </c>
      <c r="C288">
        <v>64</v>
      </c>
      <c r="D288" t="s">
        <v>10</v>
      </c>
      <c r="E288" t="s">
        <v>33</v>
      </c>
      <c r="F288" t="s">
        <v>12</v>
      </c>
      <c r="G288" t="s">
        <v>19</v>
      </c>
      <c r="H288">
        <v>1243</v>
      </c>
      <c r="I288" t="s">
        <v>20</v>
      </c>
      <c r="J288" t="str">
        <f t="shared" si="12"/>
        <v>Senior</v>
      </c>
      <c r="K288" t="str">
        <f t="shared" si="13"/>
        <v>July</v>
      </c>
      <c r="L288">
        <f t="shared" si="14"/>
        <v>2024</v>
      </c>
    </row>
    <row r="289" spans="1:12" x14ac:dyDescent="0.25">
      <c r="A289" t="s">
        <v>319</v>
      </c>
      <c r="B289" s="1">
        <v>45493.840077060187</v>
      </c>
      <c r="C289">
        <v>22</v>
      </c>
      <c r="D289" t="s">
        <v>16</v>
      </c>
      <c r="E289" t="s">
        <v>52</v>
      </c>
      <c r="F289" t="s">
        <v>31</v>
      </c>
      <c r="G289" t="s">
        <v>13</v>
      </c>
      <c r="H289">
        <v>217</v>
      </c>
      <c r="I289" t="s">
        <v>20</v>
      </c>
      <c r="J289" t="str">
        <f t="shared" si="12"/>
        <v>Adult</v>
      </c>
      <c r="K289" t="str">
        <f t="shared" si="13"/>
        <v>July</v>
      </c>
      <c r="L289">
        <f t="shared" si="14"/>
        <v>2024</v>
      </c>
    </row>
    <row r="290" spans="1:12" x14ac:dyDescent="0.25">
      <c r="A290" t="s">
        <v>320</v>
      </c>
      <c r="B290" s="1">
        <v>45494.543352592591</v>
      </c>
      <c r="C290">
        <v>47</v>
      </c>
      <c r="D290" t="s">
        <v>16</v>
      </c>
      <c r="E290" t="s">
        <v>33</v>
      </c>
      <c r="F290" t="s">
        <v>12</v>
      </c>
      <c r="G290" t="s">
        <v>19</v>
      </c>
      <c r="H290">
        <v>1794</v>
      </c>
      <c r="I290" t="s">
        <v>20</v>
      </c>
      <c r="J290" t="str">
        <f t="shared" si="12"/>
        <v>Middle Age</v>
      </c>
      <c r="K290" t="str">
        <f t="shared" si="13"/>
        <v>July</v>
      </c>
      <c r="L290">
        <f t="shared" si="14"/>
        <v>2024</v>
      </c>
    </row>
    <row r="291" spans="1:12" x14ac:dyDescent="0.25">
      <c r="A291" t="s">
        <v>321</v>
      </c>
      <c r="B291" s="1">
        <v>45495.246628125002</v>
      </c>
      <c r="C291">
        <v>4</v>
      </c>
      <c r="D291" t="s">
        <v>10</v>
      </c>
      <c r="E291" t="s">
        <v>22</v>
      </c>
      <c r="F291" t="s">
        <v>50</v>
      </c>
      <c r="G291" t="s">
        <v>26</v>
      </c>
      <c r="H291">
        <v>2524</v>
      </c>
      <c r="I291" t="s">
        <v>20</v>
      </c>
      <c r="J291" t="str">
        <f t="shared" si="12"/>
        <v>Child</v>
      </c>
      <c r="K291" t="str">
        <f t="shared" si="13"/>
        <v>July</v>
      </c>
      <c r="L291">
        <f t="shared" si="14"/>
        <v>2024</v>
      </c>
    </row>
    <row r="292" spans="1:12" x14ac:dyDescent="0.25">
      <c r="A292" t="s">
        <v>322</v>
      </c>
      <c r="B292" s="1">
        <v>45495.949903657405</v>
      </c>
      <c r="C292">
        <v>57</v>
      </c>
      <c r="D292" t="s">
        <v>16</v>
      </c>
      <c r="E292" t="s">
        <v>30</v>
      </c>
      <c r="F292" t="s">
        <v>25</v>
      </c>
      <c r="G292" t="s">
        <v>26</v>
      </c>
      <c r="H292">
        <v>885</v>
      </c>
      <c r="I292" t="s">
        <v>20</v>
      </c>
      <c r="J292" t="str">
        <f t="shared" si="12"/>
        <v>Middle Age</v>
      </c>
      <c r="K292" t="str">
        <f t="shared" si="13"/>
        <v>July</v>
      </c>
      <c r="L292">
        <f t="shared" si="14"/>
        <v>2024</v>
      </c>
    </row>
    <row r="293" spans="1:12" x14ac:dyDescent="0.25">
      <c r="A293" t="s">
        <v>323</v>
      </c>
      <c r="B293" s="1">
        <v>45496.653179189816</v>
      </c>
      <c r="C293">
        <v>89</v>
      </c>
      <c r="D293" t="s">
        <v>16</v>
      </c>
      <c r="E293" t="s">
        <v>36</v>
      </c>
      <c r="F293" t="s">
        <v>18</v>
      </c>
      <c r="G293" t="s">
        <v>26</v>
      </c>
      <c r="H293">
        <v>2607</v>
      </c>
      <c r="I293" t="s">
        <v>14</v>
      </c>
      <c r="J293" t="str">
        <f t="shared" si="12"/>
        <v>Senior</v>
      </c>
      <c r="K293" t="str">
        <f t="shared" si="13"/>
        <v>July</v>
      </c>
      <c r="L293">
        <f t="shared" si="14"/>
        <v>2024</v>
      </c>
    </row>
    <row r="294" spans="1:12" x14ac:dyDescent="0.25">
      <c r="A294" t="s">
        <v>324</v>
      </c>
      <c r="B294" s="1">
        <v>45497.356454710651</v>
      </c>
      <c r="C294">
        <v>81</v>
      </c>
      <c r="D294" t="s">
        <v>16</v>
      </c>
      <c r="E294" t="s">
        <v>11</v>
      </c>
      <c r="F294" t="s">
        <v>34</v>
      </c>
      <c r="G294" t="s">
        <v>13</v>
      </c>
      <c r="H294">
        <v>1556</v>
      </c>
      <c r="I294" t="s">
        <v>20</v>
      </c>
      <c r="J294" t="str">
        <f t="shared" si="12"/>
        <v>Senior</v>
      </c>
      <c r="K294" t="str">
        <f t="shared" si="13"/>
        <v>July</v>
      </c>
      <c r="L294">
        <f t="shared" si="14"/>
        <v>2024</v>
      </c>
    </row>
    <row r="295" spans="1:12" x14ac:dyDescent="0.25">
      <c r="A295" t="s">
        <v>325</v>
      </c>
      <c r="B295" s="1">
        <v>45498.059730243054</v>
      </c>
      <c r="C295">
        <v>47</v>
      </c>
      <c r="D295" t="s">
        <v>16</v>
      </c>
      <c r="E295" t="s">
        <v>22</v>
      </c>
      <c r="F295" t="s">
        <v>25</v>
      </c>
      <c r="G295" t="s">
        <v>13</v>
      </c>
      <c r="H295">
        <v>2635</v>
      </c>
      <c r="I295" t="s">
        <v>14</v>
      </c>
      <c r="J295" t="str">
        <f t="shared" si="12"/>
        <v>Middle Age</v>
      </c>
      <c r="K295" t="str">
        <f t="shared" si="13"/>
        <v>July</v>
      </c>
      <c r="L295">
        <f t="shared" si="14"/>
        <v>2024</v>
      </c>
    </row>
    <row r="296" spans="1:12" x14ac:dyDescent="0.25">
      <c r="A296" t="s">
        <v>326</v>
      </c>
      <c r="B296" s="1">
        <v>45498.763005775465</v>
      </c>
      <c r="C296">
        <v>55</v>
      </c>
      <c r="D296" t="s">
        <v>16</v>
      </c>
      <c r="E296" t="s">
        <v>36</v>
      </c>
      <c r="F296" t="s">
        <v>18</v>
      </c>
      <c r="G296" t="s">
        <v>13</v>
      </c>
      <c r="H296">
        <v>2085</v>
      </c>
      <c r="I296" t="s">
        <v>20</v>
      </c>
      <c r="J296" t="str">
        <f t="shared" si="12"/>
        <v>Middle Age</v>
      </c>
      <c r="K296" t="str">
        <f t="shared" si="13"/>
        <v>July</v>
      </c>
      <c r="L296">
        <f t="shared" si="14"/>
        <v>2024</v>
      </c>
    </row>
    <row r="297" spans="1:12" x14ac:dyDescent="0.25">
      <c r="A297" t="s">
        <v>327</v>
      </c>
      <c r="B297" s="1">
        <v>45499.466281307868</v>
      </c>
      <c r="C297">
        <v>80</v>
      </c>
      <c r="D297" t="s">
        <v>16</v>
      </c>
      <c r="E297" t="s">
        <v>17</v>
      </c>
      <c r="F297" t="s">
        <v>18</v>
      </c>
      <c r="G297" t="s">
        <v>19</v>
      </c>
      <c r="H297">
        <v>1847</v>
      </c>
      <c r="I297" t="s">
        <v>14</v>
      </c>
      <c r="J297" t="str">
        <f t="shared" si="12"/>
        <v>Senior</v>
      </c>
      <c r="K297" t="str">
        <f t="shared" si="13"/>
        <v>July</v>
      </c>
      <c r="L297">
        <f t="shared" si="14"/>
        <v>2024</v>
      </c>
    </row>
    <row r="298" spans="1:12" x14ac:dyDescent="0.25">
      <c r="A298" t="s">
        <v>328</v>
      </c>
      <c r="B298" s="1">
        <v>45500.169556828703</v>
      </c>
      <c r="C298">
        <v>72</v>
      </c>
      <c r="D298" t="s">
        <v>16</v>
      </c>
      <c r="E298" t="s">
        <v>33</v>
      </c>
      <c r="F298" t="s">
        <v>31</v>
      </c>
      <c r="G298" t="s">
        <v>13</v>
      </c>
      <c r="H298">
        <v>2471</v>
      </c>
      <c r="I298" t="s">
        <v>20</v>
      </c>
      <c r="J298" t="str">
        <f t="shared" si="12"/>
        <v>Senior</v>
      </c>
      <c r="K298" t="str">
        <f t="shared" si="13"/>
        <v>July</v>
      </c>
      <c r="L298">
        <f t="shared" si="14"/>
        <v>2024</v>
      </c>
    </row>
    <row r="299" spans="1:12" x14ac:dyDescent="0.25">
      <c r="A299" t="s">
        <v>329</v>
      </c>
      <c r="B299" s="1">
        <v>45500.872832361114</v>
      </c>
      <c r="C299">
        <v>15</v>
      </c>
      <c r="D299" t="s">
        <v>16</v>
      </c>
      <c r="E299" t="s">
        <v>30</v>
      </c>
      <c r="F299" t="s">
        <v>12</v>
      </c>
      <c r="G299" t="s">
        <v>26</v>
      </c>
      <c r="H299">
        <v>123</v>
      </c>
      <c r="I299" t="s">
        <v>20</v>
      </c>
      <c r="J299" t="str">
        <f t="shared" si="12"/>
        <v>Child</v>
      </c>
      <c r="K299" t="str">
        <f t="shared" si="13"/>
        <v>July</v>
      </c>
      <c r="L299">
        <f t="shared" si="14"/>
        <v>2024</v>
      </c>
    </row>
    <row r="300" spans="1:12" x14ac:dyDescent="0.25">
      <c r="A300" t="s">
        <v>330</v>
      </c>
      <c r="B300" s="1">
        <v>45501.576107893517</v>
      </c>
      <c r="C300">
        <v>78</v>
      </c>
      <c r="D300" t="s">
        <v>10</v>
      </c>
      <c r="E300" t="s">
        <v>30</v>
      </c>
      <c r="F300" t="s">
        <v>25</v>
      </c>
      <c r="G300" t="s">
        <v>13</v>
      </c>
      <c r="H300">
        <v>64</v>
      </c>
      <c r="I300" t="s">
        <v>20</v>
      </c>
      <c r="J300" t="str">
        <f t="shared" si="12"/>
        <v>Senior</v>
      </c>
      <c r="K300" t="str">
        <f t="shared" si="13"/>
        <v>July</v>
      </c>
      <c r="L300">
        <f t="shared" si="14"/>
        <v>2024</v>
      </c>
    </row>
    <row r="301" spans="1:12" x14ac:dyDescent="0.25">
      <c r="A301" t="s">
        <v>331</v>
      </c>
      <c r="B301" s="1">
        <v>45502.279383425928</v>
      </c>
      <c r="C301">
        <v>16</v>
      </c>
      <c r="D301" t="s">
        <v>16</v>
      </c>
      <c r="E301" t="s">
        <v>17</v>
      </c>
      <c r="F301" t="s">
        <v>31</v>
      </c>
      <c r="G301" t="s">
        <v>26</v>
      </c>
      <c r="H301">
        <v>2145</v>
      </c>
      <c r="I301" t="s">
        <v>20</v>
      </c>
      <c r="J301" t="str">
        <f t="shared" si="12"/>
        <v>Child</v>
      </c>
      <c r="K301" t="str">
        <f t="shared" si="13"/>
        <v>July</v>
      </c>
      <c r="L301">
        <f t="shared" si="14"/>
        <v>2024</v>
      </c>
    </row>
    <row r="302" spans="1:12" x14ac:dyDescent="0.25">
      <c r="A302" t="s">
        <v>332</v>
      </c>
      <c r="B302" s="1">
        <v>45502.982658958332</v>
      </c>
      <c r="C302">
        <v>26</v>
      </c>
      <c r="D302" t="s">
        <v>10</v>
      </c>
      <c r="E302" t="s">
        <v>30</v>
      </c>
      <c r="F302" t="s">
        <v>23</v>
      </c>
      <c r="G302" t="s">
        <v>13</v>
      </c>
      <c r="H302">
        <v>1657</v>
      </c>
      <c r="I302" t="s">
        <v>20</v>
      </c>
      <c r="J302" t="str">
        <f t="shared" si="12"/>
        <v>Adult</v>
      </c>
      <c r="K302" t="str">
        <f t="shared" si="13"/>
        <v>July</v>
      </c>
      <c r="L302">
        <f t="shared" si="14"/>
        <v>2024</v>
      </c>
    </row>
    <row r="303" spans="1:12" x14ac:dyDescent="0.25">
      <c r="A303" t="s">
        <v>333</v>
      </c>
      <c r="B303" s="1">
        <v>45503.685934479166</v>
      </c>
      <c r="C303">
        <v>54</v>
      </c>
      <c r="D303" t="s">
        <v>10</v>
      </c>
      <c r="E303" t="s">
        <v>36</v>
      </c>
      <c r="F303" t="s">
        <v>18</v>
      </c>
      <c r="G303" t="s">
        <v>19</v>
      </c>
      <c r="H303">
        <v>179</v>
      </c>
      <c r="I303" t="s">
        <v>20</v>
      </c>
      <c r="J303" t="str">
        <f t="shared" si="12"/>
        <v>Middle Age</v>
      </c>
      <c r="K303" t="str">
        <f t="shared" si="13"/>
        <v>July</v>
      </c>
      <c r="L303">
        <f t="shared" si="14"/>
        <v>2024</v>
      </c>
    </row>
    <row r="304" spans="1:12" x14ac:dyDescent="0.25">
      <c r="A304" t="s">
        <v>334</v>
      </c>
      <c r="B304" s="1">
        <v>45504.389210011577</v>
      </c>
      <c r="C304">
        <v>85</v>
      </c>
      <c r="D304" t="s">
        <v>16</v>
      </c>
      <c r="E304" t="s">
        <v>17</v>
      </c>
      <c r="F304" t="s">
        <v>18</v>
      </c>
      <c r="G304" t="s">
        <v>13</v>
      </c>
      <c r="H304">
        <v>2515</v>
      </c>
      <c r="I304" t="s">
        <v>20</v>
      </c>
      <c r="J304" t="str">
        <f t="shared" si="12"/>
        <v>Senior</v>
      </c>
      <c r="K304" t="str">
        <f t="shared" si="13"/>
        <v>July</v>
      </c>
      <c r="L304">
        <f t="shared" si="14"/>
        <v>2024</v>
      </c>
    </row>
    <row r="305" spans="1:12" x14ac:dyDescent="0.25">
      <c r="A305" t="s">
        <v>335</v>
      </c>
      <c r="B305" s="1">
        <v>45505.092485543981</v>
      </c>
      <c r="C305">
        <v>59</v>
      </c>
      <c r="D305" t="s">
        <v>16</v>
      </c>
      <c r="E305" t="s">
        <v>52</v>
      </c>
      <c r="F305" t="s">
        <v>25</v>
      </c>
      <c r="G305" t="s">
        <v>26</v>
      </c>
      <c r="H305">
        <v>248</v>
      </c>
      <c r="I305" t="s">
        <v>14</v>
      </c>
      <c r="J305" t="str">
        <f t="shared" si="12"/>
        <v>Middle Age</v>
      </c>
      <c r="K305" t="str">
        <f t="shared" si="13"/>
        <v>August</v>
      </c>
      <c r="L305">
        <f t="shared" si="14"/>
        <v>2024</v>
      </c>
    </row>
    <row r="306" spans="1:12" x14ac:dyDescent="0.25">
      <c r="A306" t="s">
        <v>336</v>
      </c>
      <c r="B306" s="1">
        <v>45505.795761076391</v>
      </c>
      <c r="C306">
        <v>86</v>
      </c>
      <c r="D306" t="s">
        <v>16</v>
      </c>
      <c r="E306" t="s">
        <v>22</v>
      </c>
      <c r="F306" t="s">
        <v>23</v>
      </c>
      <c r="G306" t="s">
        <v>19</v>
      </c>
      <c r="H306">
        <v>1817</v>
      </c>
      <c r="I306" t="s">
        <v>14</v>
      </c>
      <c r="J306" t="str">
        <f t="shared" si="12"/>
        <v>Senior</v>
      </c>
      <c r="K306" t="str">
        <f t="shared" si="13"/>
        <v>August</v>
      </c>
      <c r="L306">
        <f t="shared" si="14"/>
        <v>2024</v>
      </c>
    </row>
    <row r="307" spans="1:12" x14ac:dyDescent="0.25">
      <c r="A307" t="s">
        <v>337</v>
      </c>
      <c r="B307" s="1">
        <v>45506.499036608795</v>
      </c>
      <c r="C307">
        <v>30</v>
      </c>
      <c r="D307" t="s">
        <v>10</v>
      </c>
      <c r="E307" t="s">
        <v>30</v>
      </c>
      <c r="F307" t="s">
        <v>34</v>
      </c>
      <c r="G307" t="s">
        <v>40</v>
      </c>
      <c r="H307">
        <v>965</v>
      </c>
      <c r="I307" t="s">
        <v>14</v>
      </c>
      <c r="J307" t="str">
        <f t="shared" si="12"/>
        <v>Adult</v>
      </c>
      <c r="K307" t="str">
        <f t="shared" si="13"/>
        <v>August</v>
      </c>
      <c r="L307">
        <f t="shared" si="14"/>
        <v>2024</v>
      </c>
    </row>
    <row r="308" spans="1:12" x14ac:dyDescent="0.25">
      <c r="A308" t="s">
        <v>338</v>
      </c>
      <c r="B308" s="1">
        <v>45507.20231212963</v>
      </c>
      <c r="C308">
        <v>45</v>
      </c>
      <c r="D308" t="s">
        <v>10</v>
      </c>
      <c r="E308" t="s">
        <v>33</v>
      </c>
      <c r="F308" t="s">
        <v>23</v>
      </c>
      <c r="G308" t="s">
        <v>26</v>
      </c>
      <c r="H308">
        <v>2881</v>
      </c>
      <c r="I308" t="s">
        <v>20</v>
      </c>
      <c r="J308" t="str">
        <f t="shared" si="12"/>
        <v>Middle Age</v>
      </c>
      <c r="K308" t="str">
        <f t="shared" si="13"/>
        <v>August</v>
      </c>
      <c r="L308">
        <f t="shared" si="14"/>
        <v>2024</v>
      </c>
    </row>
    <row r="309" spans="1:12" x14ac:dyDescent="0.25">
      <c r="A309" t="s">
        <v>339</v>
      </c>
      <c r="B309" s="1">
        <v>45507.90558766204</v>
      </c>
      <c r="C309">
        <v>38</v>
      </c>
      <c r="D309" t="s">
        <v>16</v>
      </c>
      <c r="E309" t="s">
        <v>17</v>
      </c>
      <c r="F309" t="s">
        <v>25</v>
      </c>
      <c r="G309" t="s">
        <v>26</v>
      </c>
      <c r="H309">
        <v>2467</v>
      </c>
      <c r="I309" t="s">
        <v>20</v>
      </c>
      <c r="J309" t="str">
        <f t="shared" si="12"/>
        <v>Adult</v>
      </c>
      <c r="K309" t="str">
        <f t="shared" si="13"/>
        <v>August</v>
      </c>
      <c r="L309">
        <f t="shared" si="14"/>
        <v>2024</v>
      </c>
    </row>
    <row r="310" spans="1:12" x14ac:dyDescent="0.25">
      <c r="A310" t="s">
        <v>340</v>
      </c>
      <c r="B310" s="1">
        <v>45508.608863194444</v>
      </c>
      <c r="C310">
        <v>23</v>
      </c>
      <c r="D310" t="s">
        <v>10</v>
      </c>
      <c r="E310" t="s">
        <v>36</v>
      </c>
      <c r="F310" t="s">
        <v>23</v>
      </c>
      <c r="G310" t="s">
        <v>19</v>
      </c>
      <c r="H310">
        <v>172</v>
      </c>
      <c r="I310" t="s">
        <v>20</v>
      </c>
      <c r="J310" t="str">
        <f t="shared" si="12"/>
        <v>Adult</v>
      </c>
      <c r="K310" t="str">
        <f t="shared" si="13"/>
        <v>August</v>
      </c>
      <c r="L310">
        <f t="shared" si="14"/>
        <v>2024</v>
      </c>
    </row>
    <row r="311" spans="1:12" x14ac:dyDescent="0.25">
      <c r="A311" t="s">
        <v>341</v>
      </c>
      <c r="B311" s="1">
        <v>45509.312138726855</v>
      </c>
      <c r="C311">
        <v>55</v>
      </c>
      <c r="D311" t="s">
        <v>10</v>
      </c>
      <c r="E311" t="s">
        <v>22</v>
      </c>
      <c r="F311" t="s">
        <v>12</v>
      </c>
      <c r="G311" t="s">
        <v>13</v>
      </c>
      <c r="H311">
        <v>659</v>
      </c>
      <c r="I311" t="s">
        <v>14</v>
      </c>
      <c r="J311" t="str">
        <f t="shared" si="12"/>
        <v>Middle Age</v>
      </c>
      <c r="K311" t="str">
        <f t="shared" si="13"/>
        <v>August</v>
      </c>
      <c r="L311">
        <f t="shared" si="14"/>
        <v>2024</v>
      </c>
    </row>
    <row r="312" spans="1:12" x14ac:dyDescent="0.25">
      <c r="A312" t="s">
        <v>342</v>
      </c>
      <c r="B312" s="1">
        <v>45510.015414247682</v>
      </c>
      <c r="C312">
        <v>77</v>
      </c>
      <c r="D312" t="s">
        <v>10</v>
      </c>
      <c r="E312" t="s">
        <v>33</v>
      </c>
      <c r="F312" t="s">
        <v>25</v>
      </c>
      <c r="G312" t="s">
        <v>26</v>
      </c>
      <c r="H312">
        <v>2849</v>
      </c>
      <c r="I312" t="s">
        <v>20</v>
      </c>
      <c r="J312" t="str">
        <f t="shared" si="12"/>
        <v>Senior</v>
      </c>
      <c r="K312" t="str">
        <f t="shared" si="13"/>
        <v>August</v>
      </c>
      <c r="L312">
        <f t="shared" si="14"/>
        <v>2024</v>
      </c>
    </row>
    <row r="313" spans="1:12" x14ac:dyDescent="0.25">
      <c r="A313" t="s">
        <v>343</v>
      </c>
      <c r="B313" s="1">
        <v>45510.718689780093</v>
      </c>
      <c r="C313">
        <v>13</v>
      </c>
      <c r="D313" t="s">
        <v>10</v>
      </c>
      <c r="E313" t="s">
        <v>11</v>
      </c>
      <c r="F313" t="s">
        <v>18</v>
      </c>
      <c r="G313" t="s">
        <v>26</v>
      </c>
      <c r="H313">
        <v>1177</v>
      </c>
      <c r="I313" t="s">
        <v>20</v>
      </c>
      <c r="J313" t="str">
        <f t="shared" si="12"/>
        <v>Child</v>
      </c>
      <c r="K313" t="str">
        <f t="shared" si="13"/>
        <v>August</v>
      </c>
      <c r="L313">
        <f t="shared" si="14"/>
        <v>2024</v>
      </c>
    </row>
    <row r="314" spans="1:12" x14ac:dyDescent="0.25">
      <c r="A314" t="s">
        <v>344</v>
      </c>
      <c r="B314" s="1">
        <v>45511.421965312496</v>
      </c>
      <c r="C314">
        <v>60</v>
      </c>
      <c r="D314" t="s">
        <v>10</v>
      </c>
      <c r="E314" t="s">
        <v>17</v>
      </c>
      <c r="F314" t="s">
        <v>12</v>
      </c>
      <c r="G314" t="s">
        <v>40</v>
      </c>
      <c r="H314">
        <v>916</v>
      </c>
      <c r="I314" t="s">
        <v>14</v>
      </c>
      <c r="J314" t="str">
        <f t="shared" si="12"/>
        <v>Middle Age</v>
      </c>
      <c r="K314" t="str">
        <f t="shared" si="13"/>
        <v>August</v>
      </c>
      <c r="L314">
        <f t="shared" si="14"/>
        <v>2024</v>
      </c>
    </row>
    <row r="315" spans="1:12" x14ac:dyDescent="0.25">
      <c r="A315" t="s">
        <v>345</v>
      </c>
      <c r="B315" s="1">
        <v>45512.125240844907</v>
      </c>
      <c r="C315">
        <v>27</v>
      </c>
      <c r="D315" t="s">
        <v>10</v>
      </c>
      <c r="E315" t="s">
        <v>17</v>
      </c>
      <c r="F315" t="s">
        <v>18</v>
      </c>
      <c r="G315" t="s">
        <v>40</v>
      </c>
      <c r="H315">
        <v>1399</v>
      </c>
      <c r="I315" t="s">
        <v>14</v>
      </c>
      <c r="J315" t="str">
        <f t="shared" si="12"/>
        <v>Adult</v>
      </c>
      <c r="K315" t="str">
        <f t="shared" si="13"/>
        <v>August</v>
      </c>
      <c r="L315">
        <f t="shared" si="14"/>
        <v>2024</v>
      </c>
    </row>
    <row r="316" spans="1:12" x14ac:dyDescent="0.25">
      <c r="A316" t="s">
        <v>346</v>
      </c>
      <c r="B316" s="1">
        <v>45512.828516377318</v>
      </c>
      <c r="C316">
        <v>77</v>
      </c>
      <c r="D316" t="s">
        <v>10</v>
      </c>
      <c r="E316" t="s">
        <v>33</v>
      </c>
      <c r="F316" t="s">
        <v>50</v>
      </c>
      <c r="G316" t="s">
        <v>13</v>
      </c>
      <c r="H316">
        <v>2517</v>
      </c>
      <c r="I316" t="s">
        <v>14</v>
      </c>
      <c r="J316" t="str">
        <f t="shared" si="12"/>
        <v>Senior</v>
      </c>
      <c r="K316" t="str">
        <f t="shared" si="13"/>
        <v>August</v>
      </c>
      <c r="L316">
        <f t="shared" si="14"/>
        <v>2024</v>
      </c>
    </row>
    <row r="317" spans="1:12" x14ac:dyDescent="0.25">
      <c r="A317" t="s">
        <v>347</v>
      </c>
      <c r="B317" s="1">
        <v>45513.531791898145</v>
      </c>
      <c r="C317">
        <v>72</v>
      </c>
      <c r="D317" t="s">
        <v>10</v>
      </c>
      <c r="E317" t="s">
        <v>11</v>
      </c>
      <c r="F317" t="s">
        <v>31</v>
      </c>
      <c r="G317" t="s">
        <v>40</v>
      </c>
      <c r="H317">
        <v>1635</v>
      </c>
      <c r="I317" t="s">
        <v>20</v>
      </c>
      <c r="J317" t="str">
        <f t="shared" si="12"/>
        <v>Senior</v>
      </c>
      <c r="K317" t="str">
        <f t="shared" si="13"/>
        <v>August</v>
      </c>
      <c r="L317">
        <f t="shared" si="14"/>
        <v>2024</v>
      </c>
    </row>
    <row r="318" spans="1:12" x14ac:dyDescent="0.25">
      <c r="A318" t="s">
        <v>348</v>
      </c>
      <c r="B318" s="1">
        <v>45514.235067430556</v>
      </c>
      <c r="C318">
        <v>88</v>
      </c>
      <c r="D318" t="s">
        <v>16</v>
      </c>
      <c r="E318" t="s">
        <v>30</v>
      </c>
      <c r="F318" t="s">
        <v>18</v>
      </c>
      <c r="G318" t="s">
        <v>19</v>
      </c>
      <c r="H318">
        <v>2819</v>
      </c>
      <c r="I318" t="s">
        <v>20</v>
      </c>
      <c r="J318" t="str">
        <f t="shared" si="12"/>
        <v>Senior</v>
      </c>
      <c r="K318" t="str">
        <f t="shared" si="13"/>
        <v>August</v>
      </c>
      <c r="L318">
        <f t="shared" si="14"/>
        <v>2024</v>
      </c>
    </row>
    <row r="319" spans="1:12" x14ac:dyDescent="0.25">
      <c r="A319" t="s">
        <v>349</v>
      </c>
      <c r="B319" s="1">
        <v>45514.93834296296</v>
      </c>
      <c r="C319">
        <v>40</v>
      </c>
      <c r="D319" t="s">
        <v>10</v>
      </c>
      <c r="E319" t="s">
        <v>11</v>
      </c>
      <c r="F319" t="s">
        <v>23</v>
      </c>
      <c r="G319" t="s">
        <v>40</v>
      </c>
      <c r="H319">
        <v>1260</v>
      </c>
      <c r="I319" t="s">
        <v>14</v>
      </c>
      <c r="J319" t="str">
        <f t="shared" si="12"/>
        <v>Adult</v>
      </c>
      <c r="K319" t="str">
        <f t="shared" si="13"/>
        <v>August</v>
      </c>
      <c r="L319">
        <f t="shared" si="14"/>
        <v>2024</v>
      </c>
    </row>
    <row r="320" spans="1:12" x14ac:dyDescent="0.25">
      <c r="A320" t="s">
        <v>350</v>
      </c>
      <c r="B320" s="1">
        <v>45515.64161849537</v>
      </c>
      <c r="C320">
        <v>44</v>
      </c>
      <c r="D320" t="s">
        <v>10</v>
      </c>
      <c r="E320" t="s">
        <v>22</v>
      </c>
      <c r="F320" t="s">
        <v>50</v>
      </c>
      <c r="G320" t="s">
        <v>26</v>
      </c>
      <c r="H320">
        <v>586</v>
      </c>
      <c r="I320" t="s">
        <v>20</v>
      </c>
      <c r="J320" t="str">
        <f t="shared" si="12"/>
        <v>Middle Age</v>
      </c>
      <c r="K320" t="str">
        <f t="shared" si="13"/>
        <v>August</v>
      </c>
      <c r="L320">
        <f t="shared" si="14"/>
        <v>2024</v>
      </c>
    </row>
    <row r="321" spans="1:12" x14ac:dyDescent="0.25">
      <c r="A321" t="s">
        <v>351</v>
      </c>
      <c r="B321" s="1">
        <v>45516.344894016205</v>
      </c>
      <c r="C321">
        <v>77</v>
      </c>
      <c r="D321" t="s">
        <v>10</v>
      </c>
      <c r="E321" t="s">
        <v>30</v>
      </c>
      <c r="F321" t="s">
        <v>12</v>
      </c>
      <c r="G321" t="s">
        <v>19</v>
      </c>
      <c r="H321">
        <v>785</v>
      </c>
      <c r="I321" t="s">
        <v>14</v>
      </c>
      <c r="J321" t="str">
        <f t="shared" si="12"/>
        <v>Senior</v>
      </c>
      <c r="K321" t="str">
        <f t="shared" si="13"/>
        <v>August</v>
      </c>
      <c r="L321">
        <f t="shared" si="14"/>
        <v>2024</v>
      </c>
    </row>
    <row r="322" spans="1:12" x14ac:dyDescent="0.25">
      <c r="A322" t="s">
        <v>352</v>
      </c>
      <c r="B322" s="1">
        <v>45517.048169548609</v>
      </c>
      <c r="C322">
        <v>39</v>
      </c>
      <c r="D322" t="s">
        <v>16</v>
      </c>
      <c r="E322" t="s">
        <v>36</v>
      </c>
      <c r="F322" t="s">
        <v>31</v>
      </c>
      <c r="G322" t="s">
        <v>40</v>
      </c>
      <c r="H322">
        <v>72</v>
      </c>
      <c r="I322" t="s">
        <v>20</v>
      </c>
      <c r="J322" t="str">
        <f t="shared" si="12"/>
        <v>Adult</v>
      </c>
      <c r="K322" t="str">
        <f t="shared" si="13"/>
        <v>August</v>
      </c>
      <c r="L322">
        <f t="shared" si="14"/>
        <v>2024</v>
      </c>
    </row>
    <row r="323" spans="1:12" x14ac:dyDescent="0.25">
      <c r="A323" t="s">
        <v>353</v>
      </c>
      <c r="B323" s="1">
        <v>45517.751445081019</v>
      </c>
      <c r="C323">
        <v>70</v>
      </c>
      <c r="D323" t="s">
        <v>16</v>
      </c>
      <c r="E323" t="s">
        <v>28</v>
      </c>
      <c r="F323" t="s">
        <v>34</v>
      </c>
      <c r="G323" t="s">
        <v>19</v>
      </c>
      <c r="H323">
        <v>1695</v>
      </c>
      <c r="I323" t="s">
        <v>14</v>
      </c>
      <c r="J323" t="str">
        <f t="shared" ref="J323:J386" si="15">IF(C323&lt;18,"Child",IF(C323&lt;=40,"Adult",IF(C323&lt;=60,"Middle Age","Senior")))</f>
        <v>Senior</v>
      </c>
      <c r="K323" t="str">
        <f t="shared" ref="K323:K386" si="16">TEXT(B323,"mmmm")</f>
        <v>August</v>
      </c>
      <c r="L323">
        <f t="shared" ref="L323:L386" si="17">YEAR(B323)</f>
        <v>2024</v>
      </c>
    </row>
    <row r="324" spans="1:12" x14ac:dyDescent="0.25">
      <c r="A324" t="s">
        <v>354</v>
      </c>
      <c r="B324" s="1">
        <v>45518.454720613423</v>
      </c>
      <c r="C324">
        <v>34</v>
      </c>
      <c r="D324" t="s">
        <v>16</v>
      </c>
      <c r="E324" t="s">
        <v>33</v>
      </c>
      <c r="F324" t="s">
        <v>12</v>
      </c>
      <c r="G324" t="s">
        <v>26</v>
      </c>
      <c r="H324">
        <v>723</v>
      </c>
      <c r="I324" t="s">
        <v>14</v>
      </c>
      <c r="J324" t="str">
        <f t="shared" si="15"/>
        <v>Adult</v>
      </c>
      <c r="K324" t="str">
        <f t="shared" si="16"/>
        <v>August</v>
      </c>
      <c r="L324">
        <f t="shared" si="17"/>
        <v>2024</v>
      </c>
    </row>
    <row r="325" spans="1:12" x14ac:dyDescent="0.25">
      <c r="A325" t="s">
        <v>355</v>
      </c>
      <c r="B325" s="1">
        <v>45519.157996145834</v>
      </c>
      <c r="C325">
        <v>44</v>
      </c>
      <c r="D325" t="s">
        <v>10</v>
      </c>
      <c r="E325" t="s">
        <v>17</v>
      </c>
      <c r="F325" t="s">
        <v>34</v>
      </c>
      <c r="G325" t="s">
        <v>40</v>
      </c>
      <c r="H325">
        <v>2000</v>
      </c>
      <c r="I325" t="s">
        <v>14</v>
      </c>
      <c r="J325" t="str">
        <f t="shared" si="15"/>
        <v>Middle Age</v>
      </c>
      <c r="K325" t="str">
        <f t="shared" si="16"/>
        <v>August</v>
      </c>
      <c r="L325">
        <f t="shared" si="17"/>
        <v>2024</v>
      </c>
    </row>
    <row r="326" spans="1:12" x14ac:dyDescent="0.25">
      <c r="A326" t="s">
        <v>356</v>
      </c>
      <c r="B326" s="1">
        <v>45519.861271666668</v>
      </c>
      <c r="C326">
        <v>27</v>
      </c>
      <c r="D326" t="s">
        <v>16</v>
      </c>
      <c r="E326" t="s">
        <v>28</v>
      </c>
      <c r="F326" t="s">
        <v>31</v>
      </c>
      <c r="G326" t="s">
        <v>19</v>
      </c>
      <c r="H326">
        <v>1970</v>
      </c>
      <c r="I326" t="s">
        <v>20</v>
      </c>
      <c r="J326" t="str">
        <f t="shared" si="15"/>
        <v>Adult</v>
      </c>
      <c r="K326" t="str">
        <f t="shared" si="16"/>
        <v>August</v>
      </c>
      <c r="L326">
        <f t="shared" si="17"/>
        <v>2024</v>
      </c>
    </row>
    <row r="327" spans="1:12" x14ac:dyDescent="0.25">
      <c r="A327" t="s">
        <v>357</v>
      </c>
      <c r="B327" s="1">
        <v>45520.564547199072</v>
      </c>
      <c r="C327">
        <v>57</v>
      </c>
      <c r="D327" t="s">
        <v>10</v>
      </c>
      <c r="E327" t="s">
        <v>28</v>
      </c>
      <c r="F327" t="s">
        <v>12</v>
      </c>
      <c r="G327" t="s">
        <v>13</v>
      </c>
      <c r="H327">
        <v>1689</v>
      </c>
      <c r="I327" t="s">
        <v>14</v>
      </c>
      <c r="J327" t="str">
        <f t="shared" si="15"/>
        <v>Middle Age</v>
      </c>
      <c r="K327" t="str">
        <f t="shared" si="16"/>
        <v>August</v>
      </c>
      <c r="L327">
        <f t="shared" si="17"/>
        <v>2024</v>
      </c>
    </row>
    <row r="328" spans="1:12" x14ac:dyDescent="0.25">
      <c r="A328" t="s">
        <v>358</v>
      </c>
      <c r="B328" s="1">
        <v>45521.267822731483</v>
      </c>
      <c r="C328">
        <v>70</v>
      </c>
      <c r="D328" t="s">
        <v>16</v>
      </c>
      <c r="E328" t="s">
        <v>52</v>
      </c>
      <c r="F328" t="s">
        <v>34</v>
      </c>
      <c r="G328" t="s">
        <v>26</v>
      </c>
      <c r="H328">
        <v>1311</v>
      </c>
      <c r="I328" t="s">
        <v>14</v>
      </c>
      <c r="J328" t="str">
        <f t="shared" si="15"/>
        <v>Senior</v>
      </c>
      <c r="K328" t="str">
        <f t="shared" si="16"/>
        <v>August</v>
      </c>
      <c r="L328">
        <f t="shared" si="17"/>
        <v>2024</v>
      </c>
    </row>
    <row r="329" spans="1:12" x14ac:dyDescent="0.25">
      <c r="A329" t="s">
        <v>359</v>
      </c>
      <c r="B329" s="1">
        <v>45521.971098263886</v>
      </c>
      <c r="C329">
        <v>74</v>
      </c>
      <c r="D329" t="s">
        <v>16</v>
      </c>
      <c r="E329" t="s">
        <v>11</v>
      </c>
      <c r="F329" t="s">
        <v>50</v>
      </c>
      <c r="G329" t="s">
        <v>26</v>
      </c>
      <c r="H329">
        <v>213</v>
      </c>
      <c r="I329" t="s">
        <v>20</v>
      </c>
      <c r="J329" t="str">
        <f t="shared" si="15"/>
        <v>Senior</v>
      </c>
      <c r="K329" t="str">
        <f t="shared" si="16"/>
        <v>August</v>
      </c>
      <c r="L329">
        <f t="shared" si="17"/>
        <v>2024</v>
      </c>
    </row>
    <row r="330" spans="1:12" x14ac:dyDescent="0.25">
      <c r="A330" t="s">
        <v>360</v>
      </c>
      <c r="B330" s="1">
        <v>45522.674373784721</v>
      </c>
      <c r="C330">
        <v>53</v>
      </c>
      <c r="D330" t="s">
        <v>10</v>
      </c>
      <c r="E330" t="s">
        <v>11</v>
      </c>
      <c r="F330" t="s">
        <v>25</v>
      </c>
      <c r="G330" t="s">
        <v>13</v>
      </c>
      <c r="H330">
        <v>2348</v>
      </c>
      <c r="I330" t="s">
        <v>14</v>
      </c>
      <c r="J330" t="str">
        <f t="shared" si="15"/>
        <v>Middle Age</v>
      </c>
      <c r="K330" t="str">
        <f t="shared" si="16"/>
        <v>August</v>
      </c>
      <c r="L330">
        <f t="shared" si="17"/>
        <v>2024</v>
      </c>
    </row>
    <row r="331" spans="1:12" x14ac:dyDescent="0.25">
      <c r="A331" t="s">
        <v>361</v>
      </c>
      <c r="B331" s="1">
        <v>45523.377649317132</v>
      </c>
      <c r="C331">
        <v>28</v>
      </c>
      <c r="D331" t="s">
        <v>16</v>
      </c>
      <c r="E331" t="s">
        <v>22</v>
      </c>
      <c r="F331" t="s">
        <v>18</v>
      </c>
      <c r="G331" t="s">
        <v>26</v>
      </c>
      <c r="H331">
        <v>1759</v>
      </c>
      <c r="I331" t="s">
        <v>14</v>
      </c>
      <c r="J331" t="str">
        <f t="shared" si="15"/>
        <v>Adult</v>
      </c>
      <c r="K331" t="str">
        <f t="shared" si="16"/>
        <v>August</v>
      </c>
      <c r="L331">
        <f t="shared" si="17"/>
        <v>2024</v>
      </c>
    </row>
    <row r="332" spans="1:12" x14ac:dyDescent="0.25">
      <c r="A332" t="s">
        <v>362</v>
      </c>
      <c r="B332" s="1">
        <v>45524.080924849535</v>
      </c>
      <c r="C332">
        <v>44</v>
      </c>
      <c r="D332" t="s">
        <v>10</v>
      </c>
      <c r="E332" t="s">
        <v>22</v>
      </c>
      <c r="F332" t="s">
        <v>23</v>
      </c>
      <c r="G332" t="s">
        <v>40</v>
      </c>
      <c r="H332">
        <v>2362</v>
      </c>
      <c r="I332" t="s">
        <v>14</v>
      </c>
      <c r="J332" t="str">
        <f t="shared" si="15"/>
        <v>Middle Age</v>
      </c>
      <c r="K332" t="str">
        <f t="shared" si="16"/>
        <v>August</v>
      </c>
      <c r="L332">
        <f t="shared" si="17"/>
        <v>2024</v>
      </c>
    </row>
    <row r="333" spans="1:12" x14ac:dyDescent="0.25">
      <c r="A333" t="s">
        <v>363</v>
      </c>
      <c r="B333" s="1">
        <v>45524.784200381946</v>
      </c>
      <c r="C333">
        <v>2</v>
      </c>
      <c r="D333" t="s">
        <v>16</v>
      </c>
      <c r="E333" t="s">
        <v>11</v>
      </c>
      <c r="F333" t="s">
        <v>34</v>
      </c>
      <c r="G333" t="s">
        <v>40</v>
      </c>
      <c r="H333">
        <v>731</v>
      </c>
      <c r="I333" t="s">
        <v>20</v>
      </c>
      <c r="J333" t="str">
        <f t="shared" si="15"/>
        <v>Child</v>
      </c>
      <c r="K333" t="str">
        <f t="shared" si="16"/>
        <v>August</v>
      </c>
      <c r="L333">
        <f t="shared" si="17"/>
        <v>2024</v>
      </c>
    </row>
    <row r="334" spans="1:12" x14ac:dyDescent="0.25">
      <c r="A334" t="s">
        <v>364</v>
      </c>
      <c r="B334" s="1">
        <v>45525.487475914349</v>
      </c>
      <c r="C334">
        <v>83</v>
      </c>
      <c r="D334" t="s">
        <v>16</v>
      </c>
      <c r="E334" t="s">
        <v>22</v>
      </c>
      <c r="F334" t="s">
        <v>31</v>
      </c>
      <c r="G334" t="s">
        <v>19</v>
      </c>
      <c r="H334">
        <v>2844</v>
      </c>
      <c r="I334" t="s">
        <v>20</v>
      </c>
      <c r="J334" t="str">
        <f t="shared" si="15"/>
        <v>Senior</v>
      </c>
      <c r="K334" t="str">
        <f t="shared" si="16"/>
        <v>August</v>
      </c>
      <c r="L334">
        <f t="shared" si="17"/>
        <v>2024</v>
      </c>
    </row>
    <row r="335" spans="1:12" x14ac:dyDescent="0.25">
      <c r="A335" t="s">
        <v>365</v>
      </c>
      <c r="B335" s="1">
        <v>45526.190751435184</v>
      </c>
      <c r="C335">
        <v>27</v>
      </c>
      <c r="D335" t="s">
        <v>10</v>
      </c>
      <c r="E335" t="s">
        <v>22</v>
      </c>
      <c r="F335" t="s">
        <v>34</v>
      </c>
      <c r="G335" t="s">
        <v>19</v>
      </c>
      <c r="H335">
        <v>2333</v>
      </c>
      <c r="I335" t="s">
        <v>14</v>
      </c>
      <c r="J335" t="str">
        <f t="shared" si="15"/>
        <v>Adult</v>
      </c>
      <c r="K335" t="str">
        <f t="shared" si="16"/>
        <v>August</v>
      </c>
      <c r="L335">
        <f t="shared" si="17"/>
        <v>2024</v>
      </c>
    </row>
    <row r="336" spans="1:12" x14ac:dyDescent="0.25">
      <c r="A336" t="s">
        <v>366</v>
      </c>
      <c r="B336" s="1">
        <v>45526.894026967595</v>
      </c>
      <c r="C336">
        <v>85</v>
      </c>
      <c r="D336" t="s">
        <v>10</v>
      </c>
      <c r="E336" t="s">
        <v>33</v>
      </c>
      <c r="F336" t="s">
        <v>23</v>
      </c>
      <c r="G336" t="s">
        <v>26</v>
      </c>
      <c r="H336">
        <v>538</v>
      </c>
      <c r="I336" t="s">
        <v>20</v>
      </c>
      <c r="J336" t="str">
        <f t="shared" si="15"/>
        <v>Senior</v>
      </c>
      <c r="K336" t="str">
        <f t="shared" si="16"/>
        <v>August</v>
      </c>
      <c r="L336">
        <f t="shared" si="17"/>
        <v>2024</v>
      </c>
    </row>
    <row r="337" spans="1:12" x14ac:dyDescent="0.25">
      <c r="A337" t="s">
        <v>367</v>
      </c>
      <c r="B337" s="1">
        <v>45527.597302499998</v>
      </c>
      <c r="C337">
        <v>31</v>
      </c>
      <c r="D337" t="s">
        <v>16</v>
      </c>
      <c r="E337" t="s">
        <v>17</v>
      </c>
      <c r="F337" t="s">
        <v>34</v>
      </c>
      <c r="G337" t="s">
        <v>13</v>
      </c>
      <c r="H337">
        <v>720</v>
      </c>
      <c r="I337" t="s">
        <v>14</v>
      </c>
      <c r="J337" t="str">
        <f t="shared" si="15"/>
        <v>Adult</v>
      </c>
      <c r="K337" t="str">
        <f t="shared" si="16"/>
        <v>August</v>
      </c>
      <c r="L337">
        <f t="shared" si="17"/>
        <v>2024</v>
      </c>
    </row>
    <row r="338" spans="1:12" x14ac:dyDescent="0.25">
      <c r="A338" t="s">
        <v>368</v>
      </c>
      <c r="B338" s="1">
        <v>45528.300578032409</v>
      </c>
      <c r="C338">
        <v>65</v>
      </c>
      <c r="D338" t="s">
        <v>10</v>
      </c>
      <c r="E338" t="s">
        <v>33</v>
      </c>
      <c r="F338" t="s">
        <v>18</v>
      </c>
      <c r="G338" t="s">
        <v>26</v>
      </c>
      <c r="H338">
        <v>727</v>
      </c>
      <c r="I338" t="s">
        <v>20</v>
      </c>
      <c r="J338" t="str">
        <f t="shared" si="15"/>
        <v>Senior</v>
      </c>
      <c r="K338" t="str">
        <f t="shared" si="16"/>
        <v>August</v>
      </c>
      <c r="L338">
        <f t="shared" si="17"/>
        <v>2024</v>
      </c>
    </row>
    <row r="339" spans="1:12" x14ac:dyDescent="0.25">
      <c r="A339" t="s">
        <v>369</v>
      </c>
      <c r="B339" s="1">
        <v>45529.003853553244</v>
      </c>
      <c r="C339">
        <v>23</v>
      </c>
      <c r="D339" t="s">
        <v>16</v>
      </c>
      <c r="E339" t="s">
        <v>11</v>
      </c>
      <c r="F339" t="s">
        <v>34</v>
      </c>
      <c r="G339" t="s">
        <v>19</v>
      </c>
      <c r="H339">
        <v>671</v>
      </c>
      <c r="I339" t="s">
        <v>20</v>
      </c>
      <c r="J339" t="str">
        <f t="shared" si="15"/>
        <v>Adult</v>
      </c>
      <c r="K339" t="str">
        <f t="shared" si="16"/>
        <v>August</v>
      </c>
      <c r="L339">
        <f t="shared" si="17"/>
        <v>2024</v>
      </c>
    </row>
    <row r="340" spans="1:12" x14ac:dyDescent="0.25">
      <c r="A340" t="s">
        <v>370</v>
      </c>
      <c r="B340" s="1">
        <v>45529.707129085647</v>
      </c>
      <c r="C340">
        <v>53</v>
      </c>
      <c r="D340" t="s">
        <v>16</v>
      </c>
      <c r="E340" t="s">
        <v>52</v>
      </c>
      <c r="F340" t="s">
        <v>25</v>
      </c>
      <c r="G340" t="s">
        <v>19</v>
      </c>
      <c r="H340">
        <v>345</v>
      </c>
      <c r="I340" t="s">
        <v>20</v>
      </c>
      <c r="J340" t="str">
        <f t="shared" si="15"/>
        <v>Middle Age</v>
      </c>
      <c r="K340" t="str">
        <f t="shared" si="16"/>
        <v>August</v>
      </c>
      <c r="L340">
        <f t="shared" si="17"/>
        <v>2024</v>
      </c>
    </row>
    <row r="341" spans="1:12" x14ac:dyDescent="0.25">
      <c r="A341" t="s">
        <v>371</v>
      </c>
      <c r="B341" s="1">
        <v>45530.410404618058</v>
      </c>
      <c r="C341">
        <v>4</v>
      </c>
      <c r="D341" t="s">
        <v>16</v>
      </c>
      <c r="E341" t="s">
        <v>22</v>
      </c>
      <c r="F341" t="s">
        <v>18</v>
      </c>
      <c r="G341" t="s">
        <v>19</v>
      </c>
      <c r="H341">
        <v>2236</v>
      </c>
      <c r="I341" t="s">
        <v>20</v>
      </c>
      <c r="J341" t="str">
        <f t="shared" si="15"/>
        <v>Child</v>
      </c>
      <c r="K341" t="str">
        <f t="shared" si="16"/>
        <v>August</v>
      </c>
      <c r="L341">
        <f t="shared" si="17"/>
        <v>2024</v>
      </c>
    </row>
    <row r="342" spans="1:12" x14ac:dyDescent="0.25">
      <c r="A342" t="s">
        <v>372</v>
      </c>
      <c r="B342" s="1">
        <v>45531.113680150462</v>
      </c>
      <c r="C342">
        <v>71</v>
      </c>
      <c r="D342" t="s">
        <v>16</v>
      </c>
      <c r="E342" t="s">
        <v>36</v>
      </c>
      <c r="F342" t="s">
        <v>23</v>
      </c>
      <c r="G342" t="s">
        <v>40</v>
      </c>
      <c r="H342">
        <v>1141</v>
      </c>
      <c r="I342" t="s">
        <v>20</v>
      </c>
      <c r="J342" t="str">
        <f t="shared" si="15"/>
        <v>Senior</v>
      </c>
      <c r="K342" t="str">
        <f t="shared" si="16"/>
        <v>August</v>
      </c>
      <c r="L342">
        <f t="shared" si="17"/>
        <v>2024</v>
      </c>
    </row>
    <row r="343" spans="1:12" x14ac:dyDescent="0.25">
      <c r="A343" t="s">
        <v>373</v>
      </c>
      <c r="B343" s="1">
        <v>45531.816955682873</v>
      </c>
      <c r="C343">
        <v>13</v>
      </c>
      <c r="D343" t="s">
        <v>10</v>
      </c>
      <c r="E343" t="s">
        <v>17</v>
      </c>
      <c r="F343" t="s">
        <v>50</v>
      </c>
      <c r="G343" t="s">
        <v>26</v>
      </c>
      <c r="H343">
        <v>2152</v>
      </c>
      <c r="I343" t="s">
        <v>20</v>
      </c>
      <c r="J343" t="str">
        <f t="shared" si="15"/>
        <v>Child</v>
      </c>
      <c r="K343" t="str">
        <f t="shared" si="16"/>
        <v>August</v>
      </c>
      <c r="L343">
        <f t="shared" si="17"/>
        <v>2024</v>
      </c>
    </row>
    <row r="344" spans="1:12" x14ac:dyDescent="0.25">
      <c r="A344" t="s">
        <v>374</v>
      </c>
      <c r="B344" s="1">
        <v>45532.520231203707</v>
      </c>
      <c r="C344">
        <v>40</v>
      </c>
      <c r="D344" t="s">
        <v>10</v>
      </c>
      <c r="E344" t="s">
        <v>52</v>
      </c>
      <c r="F344" t="s">
        <v>12</v>
      </c>
      <c r="G344" t="s">
        <v>26</v>
      </c>
      <c r="H344">
        <v>1708</v>
      </c>
      <c r="I344" t="s">
        <v>20</v>
      </c>
      <c r="J344" t="str">
        <f t="shared" si="15"/>
        <v>Adult</v>
      </c>
      <c r="K344" t="str">
        <f t="shared" si="16"/>
        <v>August</v>
      </c>
      <c r="L344">
        <f t="shared" si="17"/>
        <v>2024</v>
      </c>
    </row>
    <row r="345" spans="1:12" x14ac:dyDescent="0.25">
      <c r="A345" t="s">
        <v>375</v>
      </c>
      <c r="B345" s="1">
        <v>45533.223506736111</v>
      </c>
      <c r="C345">
        <v>84</v>
      </c>
      <c r="D345" t="s">
        <v>16</v>
      </c>
      <c r="E345" t="s">
        <v>22</v>
      </c>
      <c r="F345" t="s">
        <v>31</v>
      </c>
      <c r="G345" t="s">
        <v>40</v>
      </c>
      <c r="H345">
        <v>1759</v>
      </c>
      <c r="I345" t="s">
        <v>20</v>
      </c>
      <c r="J345" t="str">
        <f t="shared" si="15"/>
        <v>Senior</v>
      </c>
      <c r="K345" t="str">
        <f t="shared" si="16"/>
        <v>August</v>
      </c>
      <c r="L345">
        <f t="shared" si="17"/>
        <v>2024</v>
      </c>
    </row>
    <row r="346" spans="1:12" x14ac:dyDescent="0.25">
      <c r="A346" t="s">
        <v>376</v>
      </c>
      <c r="B346" s="1">
        <v>45533.926782268521</v>
      </c>
      <c r="C346">
        <v>49</v>
      </c>
      <c r="D346" t="s">
        <v>16</v>
      </c>
      <c r="E346" t="s">
        <v>52</v>
      </c>
      <c r="F346" t="s">
        <v>18</v>
      </c>
      <c r="G346" t="s">
        <v>26</v>
      </c>
      <c r="H346">
        <v>502</v>
      </c>
      <c r="I346" t="s">
        <v>20</v>
      </c>
      <c r="J346" t="str">
        <f t="shared" si="15"/>
        <v>Middle Age</v>
      </c>
      <c r="K346" t="str">
        <f t="shared" si="16"/>
        <v>August</v>
      </c>
      <c r="L346">
        <f t="shared" si="17"/>
        <v>2024</v>
      </c>
    </row>
    <row r="347" spans="1:12" x14ac:dyDescent="0.25">
      <c r="A347" t="s">
        <v>377</v>
      </c>
      <c r="B347" s="1">
        <v>45534.630057800925</v>
      </c>
      <c r="C347">
        <v>62</v>
      </c>
      <c r="D347" t="s">
        <v>16</v>
      </c>
      <c r="E347" t="s">
        <v>17</v>
      </c>
      <c r="F347" t="s">
        <v>50</v>
      </c>
      <c r="G347" t="s">
        <v>13</v>
      </c>
      <c r="H347">
        <v>670</v>
      </c>
      <c r="I347" t="s">
        <v>14</v>
      </c>
      <c r="J347" t="str">
        <f t="shared" si="15"/>
        <v>Senior</v>
      </c>
      <c r="K347" t="str">
        <f t="shared" si="16"/>
        <v>August</v>
      </c>
      <c r="L347">
        <f t="shared" si="17"/>
        <v>2024</v>
      </c>
    </row>
    <row r="348" spans="1:12" x14ac:dyDescent="0.25">
      <c r="A348" t="s">
        <v>378</v>
      </c>
      <c r="B348" s="1">
        <v>45535.333333333336</v>
      </c>
      <c r="C348">
        <v>71</v>
      </c>
      <c r="D348" t="s">
        <v>16</v>
      </c>
      <c r="E348" t="s">
        <v>30</v>
      </c>
      <c r="F348" t="s">
        <v>31</v>
      </c>
      <c r="G348" t="s">
        <v>13</v>
      </c>
      <c r="H348">
        <v>685</v>
      </c>
      <c r="I348" t="s">
        <v>14</v>
      </c>
      <c r="J348" t="str">
        <f t="shared" si="15"/>
        <v>Senior</v>
      </c>
      <c r="K348" t="str">
        <f t="shared" si="16"/>
        <v>August</v>
      </c>
      <c r="L348">
        <f t="shared" si="17"/>
        <v>2024</v>
      </c>
    </row>
    <row r="349" spans="1:12" x14ac:dyDescent="0.25">
      <c r="A349" t="s">
        <v>379</v>
      </c>
      <c r="B349" s="1">
        <v>45536.036608854163</v>
      </c>
      <c r="C349">
        <v>14</v>
      </c>
      <c r="D349" t="s">
        <v>10</v>
      </c>
      <c r="E349" t="s">
        <v>36</v>
      </c>
      <c r="F349" t="s">
        <v>31</v>
      </c>
      <c r="G349" t="s">
        <v>40</v>
      </c>
      <c r="H349">
        <v>2842</v>
      </c>
      <c r="I349" t="s">
        <v>14</v>
      </c>
      <c r="J349" t="str">
        <f t="shared" si="15"/>
        <v>Child</v>
      </c>
      <c r="K349" t="str">
        <f t="shared" si="16"/>
        <v>September</v>
      </c>
      <c r="L349">
        <f t="shared" si="17"/>
        <v>2024</v>
      </c>
    </row>
    <row r="350" spans="1:12" x14ac:dyDescent="0.25">
      <c r="A350" t="s">
        <v>380</v>
      </c>
      <c r="B350" s="1">
        <v>45536.739884386574</v>
      </c>
      <c r="C350">
        <v>37</v>
      </c>
      <c r="D350" t="s">
        <v>10</v>
      </c>
      <c r="E350" t="s">
        <v>33</v>
      </c>
      <c r="F350" t="s">
        <v>50</v>
      </c>
      <c r="G350" t="s">
        <v>19</v>
      </c>
      <c r="H350">
        <v>1225</v>
      </c>
      <c r="I350" t="s">
        <v>14</v>
      </c>
      <c r="J350" t="str">
        <f t="shared" si="15"/>
        <v>Adult</v>
      </c>
      <c r="K350" t="str">
        <f t="shared" si="16"/>
        <v>September</v>
      </c>
      <c r="L350">
        <f t="shared" si="17"/>
        <v>2024</v>
      </c>
    </row>
    <row r="351" spans="1:12" x14ac:dyDescent="0.25">
      <c r="A351" t="s">
        <v>381</v>
      </c>
      <c r="B351" s="1">
        <v>45537.443159918985</v>
      </c>
      <c r="C351">
        <v>24</v>
      </c>
      <c r="D351" t="s">
        <v>10</v>
      </c>
      <c r="E351" t="s">
        <v>30</v>
      </c>
      <c r="F351" t="s">
        <v>34</v>
      </c>
      <c r="G351" t="s">
        <v>19</v>
      </c>
      <c r="H351">
        <v>2179</v>
      </c>
      <c r="I351" t="s">
        <v>14</v>
      </c>
      <c r="J351" t="str">
        <f t="shared" si="15"/>
        <v>Adult</v>
      </c>
      <c r="K351" t="str">
        <f t="shared" si="16"/>
        <v>September</v>
      </c>
      <c r="L351">
        <f t="shared" si="17"/>
        <v>2024</v>
      </c>
    </row>
    <row r="352" spans="1:12" x14ac:dyDescent="0.25">
      <c r="A352" t="s">
        <v>382</v>
      </c>
      <c r="B352" s="1">
        <v>45538.146435451388</v>
      </c>
      <c r="C352">
        <v>23</v>
      </c>
      <c r="D352" t="s">
        <v>16</v>
      </c>
      <c r="E352" t="s">
        <v>30</v>
      </c>
      <c r="F352" t="s">
        <v>12</v>
      </c>
      <c r="G352" t="s">
        <v>26</v>
      </c>
      <c r="H352">
        <v>370</v>
      </c>
      <c r="I352" t="s">
        <v>20</v>
      </c>
      <c r="J352" t="str">
        <f t="shared" si="15"/>
        <v>Adult</v>
      </c>
      <c r="K352" t="str">
        <f t="shared" si="16"/>
        <v>September</v>
      </c>
      <c r="L352">
        <f t="shared" si="17"/>
        <v>2024</v>
      </c>
    </row>
    <row r="353" spans="1:12" x14ac:dyDescent="0.25">
      <c r="A353" t="s">
        <v>383</v>
      </c>
      <c r="B353" s="1">
        <v>45538.849710972223</v>
      </c>
      <c r="C353">
        <v>67</v>
      </c>
      <c r="D353" t="s">
        <v>10</v>
      </c>
      <c r="E353" t="s">
        <v>28</v>
      </c>
      <c r="F353" t="s">
        <v>23</v>
      </c>
      <c r="G353" t="s">
        <v>13</v>
      </c>
      <c r="H353">
        <v>1945</v>
      </c>
      <c r="I353" t="s">
        <v>14</v>
      </c>
      <c r="J353" t="str">
        <f t="shared" si="15"/>
        <v>Senior</v>
      </c>
      <c r="K353" t="str">
        <f t="shared" si="16"/>
        <v>September</v>
      </c>
      <c r="L353">
        <f t="shared" si="17"/>
        <v>2024</v>
      </c>
    </row>
    <row r="354" spans="1:12" x14ac:dyDescent="0.25">
      <c r="A354" t="s">
        <v>384</v>
      </c>
      <c r="B354" s="1">
        <v>45539.552986504626</v>
      </c>
      <c r="C354">
        <v>54</v>
      </c>
      <c r="D354" t="s">
        <v>10</v>
      </c>
      <c r="E354" t="s">
        <v>36</v>
      </c>
      <c r="F354" t="s">
        <v>23</v>
      </c>
      <c r="G354" t="s">
        <v>19</v>
      </c>
      <c r="H354">
        <v>387</v>
      </c>
      <c r="I354" t="s">
        <v>14</v>
      </c>
      <c r="J354" t="str">
        <f t="shared" si="15"/>
        <v>Middle Age</v>
      </c>
      <c r="K354" t="str">
        <f t="shared" si="16"/>
        <v>September</v>
      </c>
      <c r="L354">
        <f t="shared" si="17"/>
        <v>2024</v>
      </c>
    </row>
    <row r="355" spans="1:12" x14ac:dyDescent="0.25">
      <c r="A355" t="s">
        <v>385</v>
      </c>
      <c r="B355" s="1">
        <v>45540.256262037037</v>
      </c>
      <c r="C355">
        <v>10</v>
      </c>
      <c r="D355" t="s">
        <v>10</v>
      </c>
      <c r="E355" t="s">
        <v>30</v>
      </c>
      <c r="F355" t="s">
        <v>50</v>
      </c>
      <c r="G355" t="s">
        <v>40</v>
      </c>
      <c r="H355">
        <v>1667</v>
      </c>
      <c r="I355" t="s">
        <v>20</v>
      </c>
      <c r="J355" t="str">
        <f t="shared" si="15"/>
        <v>Child</v>
      </c>
      <c r="K355" t="str">
        <f t="shared" si="16"/>
        <v>September</v>
      </c>
      <c r="L355">
        <f t="shared" si="17"/>
        <v>2024</v>
      </c>
    </row>
    <row r="356" spans="1:12" x14ac:dyDescent="0.25">
      <c r="A356" t="s">
        <v>386</v>
      </c>
      <c r="B356" s="1">
        <v>45540.959537569448</v>
      </c>
      <c r="C356">
        <v>42</v>
      </c>
      <c r="D356" t="s">
        <v>16</v>
      </c>
      <c r="E356" t="s">
        <v>28</v>
      </c>
      <c r="F356" t="s">
        <v>18</v>
      </c>
      <c r="G356" t="s">
        <v>40</v>
      </c>
      <c r="H356">
        <v>527</v>
      </c>
      <c r="I356" t="s">
        <v>20</v>
      </c>
      <c r="J356" t="str">
        <f t="shared" si="15"/>
        <v>Middle Age</v>
      </c>
      <c r="K356" t="str">
        <f t="shared" si="16"/>
        <v>September</v>
      </c>
      <c r="L356">
        <f t="shared" si="17"/>
        <v>2024</v>
      </c>
    </row>
    <row r="357" spans="1:12" x14ac:dyDescent="0.25">
      <c r="A357" t="s">
        <v>387</v>
      </c>
      <c r="B357" s="1">
        <v>45541.662813101851</v>
      </c>
      <c r="C357">
        <v>58</v>
      </c>
      <c r="D357" t="s">
        <v>10</v>
      </c>
      <c r="E357" t="s">
        <v>11</v>
      </c>
      <c r="F357" t="s">
        <v>31</v>
      </c>
      <c r="G357" t="s">
        <v>13</v>
      </c>
      <c r="H357">
        <v>1984</v>
      </c>
      <c r="I357" t="s">
        <v>14</v>
      </c>
      <c r="J357" t="str">
        <f t="shared" si="15"/>
        <v>Middle Age</v>
      </c>
      <c r="K357" t="str">
        <f t="shared" si="16"/>
        <v>September</v>
      </c>
      <c r="L357">
        <f t="shared" si="17"/>
        <v>2024</v>
      </c>
    </row>
    <row r="358" spans="1:12" x14ac:dyDescent="0.25">
      <c r="A358" t="s">
        <v>388</v>
      </c>
      <c r="B358" s="1">
        <v>45542.366088622686</v>
      </c>
      <c r="C358">
        <v>89</v>
      </c>
      <c r="D358" t="s">
        <v>16</v>
      </c>
      <c r="E358" t="s">
        <v>22</v>
      </c>
      <c r="F358" t="s">
        <v>18</v>
      </c>
      <c r="G358" t="s">
        <v>13</v>
      </c>
      <c r="H358">
        <v>80</v>
      </c>
      <c r="I358" t="s">
        <v>20</v>
      </c>
      <c r="J358" t="str">
        <f t="shared" si="15"/>
        <v>Senior</v>
      </c>
      <c r="K358" t="str">
        <f t="shared" si="16"/>
        <v>September</v>
      </c>
      <c r="L358">
        <f t="shared" si="17"/>
        <v>2024</v>
      </c>
    </row>
    <row r="359" spans="1:12" x14ac:dyDescent="0.25">
      <c r="A359" t="s">
        <v>389</v>
      </c>
      <c r="B359" s="1">
        <v>45543.06936415509</v>
      </c>
      <c r="C359">
        <v>77</v>
      </c>
      <c r="D359" t="s">
        <v>16</v>
      </c>
      <c r="E359" t="s">
        <v>36</v>
      </c>
      <c r="F359" t="s">
        <v>34</v>
      </c>
      <c r="G359" t="s">
        <v>26</v>
      </c>
      <c r="H359">
        <v>1496</v>
      </c>
      <c r="I359" t="s">
        <v>14</v>
      </c>
      <c r="J359" t="str">
        <f t="shared" si="15"/>
        <v>Senior</v>
      </c>
      <c r="K359" t="str">
        <f t="shared" si="16"/>
        <v>September</v>
      </c>
      <c r="L359">
        <f t="shared" si="17"/>
        <v>2024</v>
      </c>
    </row>
    <row r="360" spans="1:12" x14ac:dyDescent="0.25">
      <c r="A360" t="s">
        <v>390</v>
      </c>
      <c r="B360" s="1">
        <v>45543.7726396875</v>
      </c>
      <c r="C360">
        <v>83</v>
      </c>
      <c r="D360" t="s">
        <v>10</v>
      </c>
      <c r="E360" t="s">
        <v>17</v>
      </c>
      <c r="F360" t="s">
        <v>23</v>
      </c>
      <c r="G360" t="s">
        <v>19</v>
      </c>
      <c r="H360">
        <v>1196</v>
      </c>
      <c r="I360" t="s">
        <v>20</v>
      </c>
      <c r="J360" t="str">
        <f t="shared" si="15"/>
        <v>Senior</v>
      </c>
      <c r="K360" t="str">
        <f t="shared" si="16"/>
        <v>September</v>
      </c>
      <c r="L360">
        <f t="shared" si="17"/>
        <v>2024</v>
      </c>
    </row>
    <row r="361" spans="1:12" x14ac:dyDescent="0.25">
      <c r="A361" t="s">
        <v>391</v>
      </c>
      <c r="B361" s="1">
        <v>45544.475915219904</v>
      </c>
      <c r="C361">
        <v>12</v>
      </c>
      <c r="D361" t="s">
        <v>16</v>
      </c>
      <c r="E361" t="s">
        <v>36</v>
      </c>
      <c r="F361" t="s">
        <v>31</v>
      </c>
      <c r="G361" t="s">
        <v>40</v>
      </c>
      <c r="H361">
        <v>1426</v>
      </c>
      <c r="I361" t="s">
        <v>20</v>
      </c>
      <c r="J361" t="str">
        <f t="shared" si="15"/>
        <v>Child</v>
      </c>
      <c r="K361" t="str">
        <f t="shared" si="16"/>
        <v>September</v>
      </c>
      <c r="L361">
        <f t="shared" si="17"/>
        <v>2024</v>
      </c>
    </row>
    <row r="362" spans="1:12" x14ac:dyDescent="0.25">
      <c r="A362" t="s">
        <v>392</v>
      </c>
      <c r="B362" s="1">
        <v>45545.179190740739</v>
      </c>
      <c r="C362">
        <v>37</v>
      </c>
      <c r="D362" t="s">
        <v>16</v>
      </c>
      <c r="E362" t="s">
        <v>11</v>
      </c>
      <c r="F362" t="s">
        <v>18</v>
      </c>
      <c r="G362" t="s">
        <v>13</v>
      </c>
      <c r="H362">
        <v>2825</v>
      </c>
      <c r="I362" t="s">
        <v>20</v>
      </c>
      <c r="J362" t="str">
        <f t="shared" si="15"/>
        <v>Adult</v>
      </c>
      <c r="K362" t="str">
        <f t="shared" si="16"/>
        <v>September</v>
      </c>
      <c r="L362">
        <f t="shared" si="17"/>
        <v>2024</v>
      </c>
    </row>
    <row r="363" spans="1:12" x14ac:dyDescent="0.25">
      <c r="A363" t="s">
        <v>393</v>
      </c>
      <c r="B363" s="1">
        <v>45545.882466273149</v>
      </c>
      <c r="C363">
        <v>17</v>
      </c>
      <c r="D363" t="s">
        <v>16</v>
      </c>
      <c r="E363" t="s">
        <v>11</v>
      </c>
      <c r="F363" t="s">
        <v>23</v>
      </c>
      <c r="G363" t="s">
        <v>40</v>
      </c>
      <c r="H363">
        <v>1177</v>
      </c>
      <c r="I363" t="s">
        <v>20</v>
      </c>
      <c r="J363" t="str">
        <f t="shared" si="15"/>
        <v>Child</v>
      </c>
      <c r="K363" t="str">
        <f t="shared" si="16"/>
        <v>September</v>
      </c>
      <c r="L363">
        <f t="shared" si="17"/>
        <v>2024</v>
      </c>
    </row>
    <row r="364" spans="1:12" x14ac:dyDescent="0.25">
      <c r="A364" t="s">
        <v>394</v>
      </c>
      <c r="B364" s="1">
        <v>45546.585741805553</v>
      </c>
      <c r="C364">
        <v>31</v>
      </c>
      <c r="D364" t="s">
        <v>16</v>
      </c>
      <c r="E364" t="s">
        <v>36</v>
      </c>
      <c r="F364" t="s">
        <v>18</v>
      </c>
      <c r="G364" t="s">
        <v>26</v>
      </c>
      <c r="H364">
        <v>946</v>
      </c>
      <c r="I364" t="s">
        <v>14</v>
      </c>
      <c r="J364" t="str">
        <f t="shared" si="15"/>
        <v>Adult</v>
      </c>
      <c r="K364" t="str">
        <f t="shared" si="16"/>
        <v>September</v>
      </c>
      <c r="L364">
        <f t="shared" si="17"/>
        <v>2024</v>
      </c>
    </row>
    <row r="365" spans="1:12" x14ac:dyDescent="0.25">
      <c r="A365" t="s">
        <v>395</v>
      </c>
      <c r="B365" s="1">
        <v>45547.289017337964</v>
      </c>
      <c r="C365">
        <v>85</v>
      </c>
      <c r="D365" t="s">
        <v>16</v>
      </c>
      <c r="E365" t="s">
        <v>22</v>
      </c>
      <c r="F365" t="s">
        <v>23</v>
      </c>
      <c r="G365" t="s">
        <v>13</v>
      </c>
      <c r="H365">
        <v>727</v>
      </c>
      <c r="I365" t="s">
        <v>14</v>
      </c>
      <c r="J365" t="str">
        <f t="shared" si="15"/>
        <v>Senior</v>
      </c>
      <c r="K365" t="str">
        <f t="shared" si="16"/>
        <v>September</v>
      </c>
      <c r="L365">
        <f t="shared" si="17"/>
        <v>2024</v>
      </c>
    </row>
    <row r="366" spans="1:12" x14ac:dyDescent="0.25">
      <c r="A366" t="s">
        <v>396</v>
      </c>
      <c r="B366" s="1">
        <v>45547.992292870367</v>
      </c>
      <c r="C366">
        <v>58</v>
      </c>
      <c r="D366" t="s">
        <v>10</v>
      </c>
      <c r="E366" t="s">
        <v>22</v>
      </c>
      <c r="F366" t="s">
        <v>34</v>
      </c>
      <c r="G366" t="s">
        <v>40</v>
      </c>
      <c r="H366">
        <v>2586</v>
      </c>
      <c r="I366" t="s">
        <v>20</v>
      </c>
      <c r="J366" t="str">
        <f t="shared" si="15"/>
        <v>Middle Age</v>
      </c>
      <c r="K366" t="str">
        <f t="shared" si="16"/>
        <v>September</v>
      </c>
      <c r="L366">
        <f t="shared" si="17"/>
        <v>2024</v>
      </c>
    </row>
    <row r="367" spans="1:12" x14ac:dyDescent="0.25">
      <c r="A367" t="s">
        <v>397</v>
      </c>
      <c r="B367" s="1">
        <v>45548.695568391202</v>
      </c>
      <c r="C367">
        <v>36</v>
      </c>
      <c r="D367" t="s">
        <v>16</v>
      </c>
      <c r="E367" t="s">
        <v>22</v>
      </c>
      <c r="F367" t="s">
        <v>25</v>
      </c>
      <c r="G367" t="s">
        <v>26</v>
      </c>
      <c r="H367">
        <v>220</v>
      </c>
      <c r="I367" t="s">
        <v>14</v>
      </c>
      <c r="J367" t="str">
        <f t="shared" si="15"/>
        <v>Adult</v>
      </c>
      <c r="K367" t="str">
        <f t="shared" si="16"/>
        <v>September</v>
      </c>
      <c r="L367">
        <f t="shared" si="17"/>
        <v>2024</v>
      </c>
    </row>
    <row r="368" spans="1:12" x14ac:dyDescent="0.25">
      <c r="A368" t="s">
        <v>398</v>
      </c>
      <c r="B368" s="1">
        <v>45549.398843923613</v>
      </c>
      <c r="C368">
        <v>42</v>
      </c>
      <c r="D368" t="s">
        <v>16</v>
      </c>
      <c r="E368" t="s">
        <v>11</v>
      </c>
      <c r="F368" t="s">
        <v>18</v>
      </c>
      <c r="G368" t="s">
        <v>40</v>
      </c>
      <c r="H368">
        <v>1647</v>
      </c>
      <c r="I368" t="s">
        <v>14</v>
      </c>
      <c r="J368" t="str">
        <f t="shared" si="15"/>
        <v>Middle Age</v>
      </c>
      <c r="K368" t="str">
        <f t="shared" si="16"/>
        <v>September</v>
      </c>
      <c r="L368">
        <f t="shared" si="17"/>
        <v>2024</v>
      </c>
    </row>
    <row r="369" spans="1:12" x14ac:dyDescent="0.25">
      <c r="A369" t="s">
        <v>399</v>
      </c>
      <c r="B369" s="1">
        <v>45550.102119456016</v>
      </c>
      <c r="C369">
        <v>82</v>
      </c>
      <c r="D369" t="s">
        <v>16</v>
      </c>
      <c r="E369" t="s">
        <v>22</v>
      </c>
      <c r="F369" t="s">
        <v>12</v>
      </c>
      <c r="G369" t="s">
        <v>40</v>
      </c>
      <c r="H369">
        <v>836</v>
      </c>
      <c r="I369" t="s">
        <v>14</v>
      </c>
      <c r="J369" t="str">
        <f t="shared" si="15"/>
        <v>Senior</v>
      </c>
      <c r="K369" t="str">
        <f t="shared" si="16"/>
        <v>September</v>
      </c>
      <c r="L369">
        <f t="shared" si="17"/>
        <v>2024</v>
      </c>
    </row>
    <row r="370" spans="1:12" x14ac:dyDescent="0.25">
      <c r="A370" t="s">
        <v>400</v>
      </c>
      <c r="B370" s="1">
        <v>45550.805394988427</v>
      </c>
      <c r="C370">
        <v>3</v>
      </c>
      <c r="D370" t="s">
        <v>16</v>
      </c>
      <c r="E370" t="s">
        <v>52</v>
      </c>
      <c r="F370" t="s">
        <v>25</v>
      </c>
      <c r="G370" t="s">
        <v>19</v>
      </c>
      <c r="H370">
        <v>434</v>
      </c>
      <c r="I370" t="s">
        <v>14</v>
      </c>
      <c r="J370" t="str">
        <f t="shared" si="15"/>
        <v>Child</v>
      </c>
      <c r="K370" t="str">
        <f t="shared" si="16"/>
        <v>September</v>
      </c>
      <c r="L370">
        <f t="shared" si="17"/>
        <v>2024</v>
      </c>
    </row>
    <row r="371" spans="1:12" x14ac:dyDescent="0.25">
      <c r="A371" t="s">
        <v>401</v>
      </c>
      <c r="B371" s="1">
        <v>45551.508670509262</v>
      </c>
      <c r="C371">
        <v>86</v>
      </c>
      <c r="D371" t="s">
        <v>10</v>
      </c>
      <c r="E371" t="s">
        <v>28</v>
      </c>
      <c r="F371" t="s">
        <v>12</v>
      </c>
      <c r="G371" t="s">
        <v>13</v>
      </c>
      <c r="H371">
        <v>2064</v>
      </c>
      <c r="I371" t="s">
        <v>20</v>
      </c>
      <c r="J371" t="str">
        <f t="shared" si="15"/>
        <v>Senior</v>
      </c>
      <c r="K371" t="str">
        <f t="shared" si="16"/>
        <v>September</v>
      </c>
      <c r="L371">
        <f t="shared" si="17"/>
        <v>2024</v>
      </c>
    </row>
    <row r="372" spans="1:12" x14ac:dyDescent="0.25">
      <c r="A372" t="s">
        <v>402</v>
      </c>
      <c r="B372" s="1">
        <v>45552.211946041665</v>
      </c>
      <c r="C372">
        <v>37</v>
      </c>
      <c r="D372" t="s">
        <v>16</v>
      </c>
      <c r="E372" t="s">
        <v>11</v>
      </c>
      <c r="F372" t="s">
        <v>18</v>
      </c>
      <c r="G372" t="s">
        <v>19</v>
      </c>
      <c r="H372">
        <v>1529</v>
      </c>
      <c r="I372" t="s">
        <v>20</v>
      </c>
      <c r="J372" t="str">
        <f t="shared" si="15"/>
        <v>Adult</v>
      </c>
      <c r="K372" t="str">
        <f t="shared" si="16"/>
        <v>September</v>
      </c>
      <c r="L372">
        <f t="shared" si="17"/>
        <v>2024</v>
      </c>
    </row>
    <row r="373" spans="1:12" x14ac:dyDescent="0.25">
      <c r="A373" t="s">
        <v>403</v>
      </c>
      <c r="B373" s="1">
        <v>45552.915221574076</v>
      </c>
      <c r="C373">
        <v>47</v>
      </c>
      <c r="D373" t="s">
        <v>10</v>
      </c>
      <c r="E373" t="s">
        <v>28</v>
      </c>
      <c r="F373" t="s">
        <v>34</v>
      </c>
      <c r="G373" t="s">
        <v>40</v>
      </c>
      <c r="H373">
        <v>1912</v>
      </c>
      <c r="I373" t="s">
        <v>14</v>
      </c>
      <c r="J373" t="str">
        <f t="shared" si="15"/>
        <v>Middle Age</v>
      </c>
      <c r="K373" t="str">
        <f t="shared" si="16"/>
        <v>September</v>
      </c>
      <c r="L373">
        <f t="shared" si="17"/>
        <v>2024</v>
      </c>
    </row>
    <row r="374" spans="1:12" x14ac:dyDescent="0.25">
      <c r="A374" t="s">
        <v>404</v>
      </c>
      <c r="B374" s="1">
        <v>45553.618497106479</v>
      </c>
      <c r="C374">
        <v>81</v>
      </c>
      <c r="D374" t="s">
        <v>10</v>
      </c>
      <c r="E374" t="s">
        <v>28</v>
      </c>
      <c r="F374" t="s">
        <v>18</v>
      </c>
      <c r="G374" t="s">
        <v>40</v>
      </c>
      <c r="H374">
        <v>291</v>
      </c>
      <c r="I374" t="s">
        <v>14</v>
      </c>
      <c r="J374" t="str">
        <f t="shared" si="15"/>
        <v>Senior</v>
      </c>
      <c r="K374" t="str">
        <f t="shared" si="16"/>
        <v>September</v>
      </c>
      <c r="L374">
        <f t="shared" si="17"/>
        <v>2024</v>
      </c>
    </row>
    <row r="375" spans="1:12" x14ac:dyDescent="0.25">
      <c r="A375" t="s">
        <v>405</v>
      </c>
      <c r="B375" s="1">
        <v>45554.32177263889</v>
      </c>
      <c r="C375">
        <v>28</v>
      </c>
      <c r="D375" t="s">
        <v>10</v>
      </c>
      <c r="E375" t="s">
        <v>36</v>
      </c>
      <c r="F375" t="s">
        <v>25</v>
      </c>
      <c r="G375" t="s">
        <v>19</v>
      </c>
      <c r="H375">
        <v>2919</v>
      </c>
      <c r="I375" t="s">
        <v>20</v>
      </c>
      <c r="J375" t="str">
        <f t="shared" si="15"/>
        <v>Adult</v>
      </c>
      <c r="K375" t="str">
        <f t="shared" si="16"/>
        <v>September</v>
      </c>
      <c r="L375">
        <f t="shared" si="17"/>
        <v>2024</v>
      </c>
    </row>
    <row r="376" spans="1:12" x14ac:dyDescent="0.25">
      <c r="A376" t="s">
        <v>406</v>
      </c>
      <c r="B376" s="1">
        <v>45555.025048159725</v>
      </c>
      <c r="C376">
        <v>73</v>
      </c>
      <c r="D376" t="s">
        <v>10</v>
      </c>
      <c r="E376" t="s">
        <v>28</v>
      </c>
      <c r="F376" t="s">
        <v>18</v>
      </c>
      <c r="G376" t="s">
        <v>26</v>
      </c>
      <c r="H376">
        <v>425</v>
      </c>
      <c r="I376" t="s">
        <v>20</v>
      </c>
      <c r="J376" t="str">
        <f t="shared" si="15"/>
        <v>Senior</v>
      </c>
      <c r="K376" t="str">
        <f t="shared" si="16"/>
        <v>September</v>
      </c>
      <c r="L376">
        <f t="shared" si="17"/>
        <v>2024</v>
      </c>
    </row>
    <row r="377" spans="1:12" x14ac:dyDescent="0.25">
      <c r="A377" t="s">
        <v>407</v>
      </c>
      <c r="B377" s="1">
        <v>45555.728323692128</v>
      </c>
      <c r="C377">
        <v>29</v>
      </c>
      <c r="D377" t="s">
        <v>16</v>
      </c>
      <c r="E377" t="s">
        <v>30</v>
      </c>
      <c r="F377" t="s">
        <v>34</v>
      </c>
      <c r="G377" t="s">
        <v>40</v>
      </c>
      <c r="H377">
        <v>346</v>
      </c>
      <c r="I377" t="s">
        <v>20</v>
      </c>
      <c r="J377" t="str">
        <f t="shared" si="15"/>
        <v>Adult</v>
      </c>
      <c r="K377" t="str">
        <f t="shared" si="16"/>
        <v>September</v>
      </c>
      <c r="L377">
        <f t="shared" si="17"/>
        <v>2024</v>
      </c>
    </row>
    <row r="378" spans="1:12" x14ac:dyDescent="0.25">
      <c r="A378" t="s">
        <v>408</v>
      </c>
      <c r="B378" s="1">
        <v>45556.431599224539</v>
      </c>
      <c r="C378">
        <v>3</v>
      </c>
      <c r="D378" t="s">
        <v>10</v>
      </c>
      <c r="E378" t="s">
        <v>52</v>
      </c>
      <c r="F378" t="s">
        <v>12</v>
      </c>
      <c r="G378" t="s">
        <v>40</v>
      </c>
      <c r="H378">
        <v>1866</v>
      </c>
      <c r="I378" t="s">
        <v>14</v>
      </c>
      <c r="J378" t="str">
        <f t="shared" si="15"/>
        <v>Child</v>
      </c>
      <c r="K378" t="str">
        <f t="shared" si="16"/>
        <v>September</v>
      </c>
      <c r="L378">
        <f t="shared" si="17"/>
        <v>2024</v>
      </c>
    </row>
    <row r="379" spans="1:12" x14ac:dyDescent="0.25">
      <c r="A379" t="s">
        <v>409</v>
      </c>
      <c r="B379" s="1">
        <v>45557.134874756943</v>
      </c>
      <c r="C379">
        <v>14</v>
      </c>
      <c r="D379" t="s">
        <v>10</v>
      </c>
      <c r="E379" t="s">
        <v>11</v>
      </c>
      <c r="F379" t="s">
        <v>18</v>
      </c>
      <c r="G379" t="s">
        <v>26</v>
      </c>
      <c r="H379">
        <v>2062</v>
      </c>
      <c r="I379" t="s">
        <v>14</v>
      </c>
      <c r="J379" t="str">
        <f t="shared" si="15"/>
        <v>Child</v>
      </c>
      <c r="K379" t="str">
        <f t="shared" si="16"/>
        <v>September</v>
      </c>
      <c r="L379">
        <f t="shared" si="17"/>
        <v>2024</v>
      </c>
    </row>
    <row r="380" spans="1:12" x14ac:dyDescent="0.25">
      <c r="A380" t="s">
        <v>410</v>
      </c>
      <c r="B380" s="1">
        <v>45557.838150277777</v>
      </c>
      <c r="C380">
        <v>42</v>
      </c>
      <c r="D380" t="s">
        <v>10</v>
      </c>
      <c r="E380" t="s">
        <v>52</v>
      </c>
      <c r="F380" t="s">
        <v>50</v>
      </c>
      <c r="G380" t="s">
        <v>19</v>
      </c>
      <c r="H380">
        <v>634</v>
      </c>
      <c r="I380" t="s">
        <v>20</v>
      </c>
      <c r="J380" t="str">
        <f t="shared" si="15"/>
        <v>Middle Age</v>
      </c>
      <c r="K380" t="str">
        <f t="shared" si="16"/>
        <v>September</v>
      </c>
      <c r="L380">
        <f t="shared" si="17"/>
        <v>2024</v>
      </c>
    </row>
    <row r="381" spans="1:12" x14ac:dyDescent="0.25">
      <c r="A381" t="s">
        <v>411</v>
      </c>
      <c r="B381" s="1">
        <v>45558.541425810188</v>
      </c>
      <c r="C381">
        <v>37</v>
      </c>
      <c r="D381" t="s">
        <v>10</v>
      </c>
      <c r="E381" t="s">
        <v>17</v>
      </c>
      <c r="F381" t="s">
        <v>12</v>
      </c>
      <c r="G381" t="s">
        <v>26</v>
      </c>
      <c r="H381">
        <v>2358</v>
      </c>
      <c r="I381" t="s">
        <v>20</v>
      </c>
      <c r="J381" t="str">
        <f t="shared" si="15"/>
        <v>Adult</v>
      </c>
      <c r="K381" t="str">
        <f t="shared" si="16"/>
        <v>September</v>
      </c>
      <c r="L381">
        <f t="shared" si="17"/>
        <v>2024</v>
      </c>
    </row>
    <row r="382" spans="1:12" x14ac:dyDescent="0.25">
      <c r="A382" t="s">
        <v>412</v>
      </c>
      <c r="B382" s="1">
        <v>45559.244701342592</v>
      </c>
      <c r="C382">
        <v>41</v>
      </c>
      <c r="D382" t="s">
        <v>10</v>
      </c>
      <c r="E382" t="s">
        <v>22</v>
      </c>
      <c r="F382" t="s">
        <v>23</v>
      </c>
      <c r="G382" t="s">
        <v>19</v>
      </c>
      <c r="H382">
        <v>2127</v>
      </c>
      <c r="I382" t="s">
        <v>14</v>
      </c>
      <c r="J382" t="str">
        <f t="shared" si="15"/>
        <v>Middle Age</v>
      </c>
      <c r="K382" t="str">
        <f t="shared" si="16"/>
        <v>September</v>
      </c>
      <c r="L382">
        <f t="shared" si="17"/>
        <v>2024</v>
      </c>
    </row>
    <row r="383" spans="1:12" x14ac:dyDescent="0.25">
      <c r="A383" t="s">
        <v>413</v>
      </c>
      <c r="B383" s="1">
        <v>45559.947976875002</v>
      </c>
      <c r="C383">
        <v>19</v>
      </c>
      <c r="D383" t="s">
        <v>10</v>
      </c>
      <c r="E383" t="s">
        <v>11</v>
      </c>
      <c r="F383" t="s">
        <v>34</v>
      </c>
      <c r="G383" t="s">
        <v>26</v>
      </c>
      <c r="H383">
        <v>725</v>
      </c>
      <c r="I383" t="s">
        <v>20</v>
      </c>
      <c r="J383" t="str">
        <f t="shared" si="15"/>
        <v>Adult</v>
      </c>
      <c r="K383" t="str">
        <f t="shared" si="16"/>
        <v>September</v>
      </c>
      <c r="L383">
        <f t="shared" si="17"/>
        <v>2024</v>
      </c>
    </row>
    <row r="384" spans="1:12" x14ac:dyDescent="0.25">
      <c r="A384" t="s">
        <v>414</v>
      </c>
      <c r="B384" s="1">
        <v>45560.651252407406</v>
      </c>
      <c r="C384">
        <v>39</v>
      </c>
      <c r="D384" t="s">
        <v>16</v>
      </c>
      <c r="E384" t="s">
        <v>33</v>
      </c>
      <c r="F384" t="s">
        <v>25</v>
      </c>
      <c r="G384" t="s">
        <v>40</v>
      </c>
      <c r="H384">
        <v>1122</v>
      </c>
      <c r="I384" t="s">
        <v>20</v>
      </c>
      <c r="J384" t="str">
        <f t="shared" si="15"/>
        <v>Adult</v>
      </c>
      <c r="K384" t="str">
        <f t="shared" si="16"/>
        <v>September</v>
      </c>
      <c r="L384">
        <f t="shared" si="17"/>
        <v>2024</v>
      </c>
    </row>
    <row r="385" spans="1:12" x14ac:dyDescent="0.25">
      <c r="A385" t="s">
        <v>415</v>
      </c>
      <c r="B385" s="1">
        <v>45561.354527928241</v>
      </c>
      <c r="C385">
        <v>64</v>
      </c>
      <c r="D385" t="s">
        <v>10</v>
      </c>
      <c r="E385" t="s">
        <v>33</v>
      </c>
      <c r="F385" t="s">
        <v>34</v>
      </c>
      <c r="G385" t="s">
        <v>13</v>
      </c>
      <c r="H385">
        <v>976</v>
      </c>
      <c r="I385" t="s">
        <v>14</v>
      </c>
      <c r="J385" t="str">
        <f t="shared" si="15"/>
        <v>Senior</v>
      </c>
      <c r="K385" t="str">
        <f t="shared" si="16"/>
        <v>September</v>
      </c>
      <c r="L385">
        <f t="shared" si="17"/>
        <v>2024</v>
      </c>
    </row>
    <row r="386" spans="1:12" x14ac:dyDescent="0.25">
      <c r="A386" t="s">
        <v>416</v>
      </c>
      <c r="B386" s="1">
        <v>45562.057803460651</v>
      </c>
      <c r="C386">
        <v>47</v>
      </c>
      <c r="D386" t="s">
        <v>16</v>
      </c>
      <c r="E386" t="s">
        <v>52</v>
      </c>
      <c r="F386" t="s">
        <v>12</v>
      </c>
      <c r="G386" t="s">
        <v>13</v>
      </c>
      <c r="H386">
        <v>353</v>
      </c>
      <c r="I386" t="s">
        <v>20</v>
      </c>
      <c r="J386" t="str">
        <f t="shared" si="15"/>
        <v>Middle Age</v>
      </c>
      <c r="K386" t="str">
        <f t="shared" si="16"/>
        <v>September</v>
      </c>
      <c r="L386">
        <f t="shared" si="17"/>
        <v>2024</v>
      </c>
    </row>
    <row r="387" spans="1:12" x14ac:dyDescent="0.25">
      <c r="A387" t="s">
        <v>417</v>
      </c>
      <c r="B387" s="1">
        <v>45562.761078993055</v>
      </c>
      <c r="C387">
        <v>3</v>
      </c>
      <c r="D387" t="s">
        <v>10</v>
      </c>
      <c r="E387" t="s">
        <v>30</v>
      </c>
      <c r="F387" t="s">
        <v>18</v>
      </c>
      <c r="G387" t="s">
        <v>40</v>
      </c>
      <c r="H387">
        <v>2597</v>
      </c>
      <c r="I387" t="s">
        <v>14</v>
      </c>
      <c r="J387" t="str">
        <f t="shared" ref="J387:J450" si="18">IF(C387&lt;18,"Child",IF(C387&lt;=40,"Adult",IF(C387&lt;=60,"Middle Age","Senior")))</f>
        <v>Child</v>
      </c>
      <c r="K387" t="str">
        <f t="shared" ref="K387:K450" si="19">TEXT(B387,"mmmm")</f>
        <v>September</v>
      </c>
      <c r="L387">
        <f t="shared" ref="L387:L450" si="20">YEAR(B387)</f>
        <v>2024</v>
      </c>
    </row>
    <row r="388" spans="1:12" x14ac:dyDescent="0.25">
      <c r="A388" t="s">
        <v>418</v>
      </c>
      <c r="B388" s="1">
        <v>45563.464354525466</v>
      </c>
      <c r="C388">
        <v>29</v>
      </c>
      <c r="D388" t="s">
        <v>16</v>
      </c>
      <c r="E388" t="s">
        <v>17</v>
      </c>
      <c r="F388" t="s">
        <v>23</v>
      </c>
      <c r="G388" t="s">
        <v>40</v>
      </c>
      <c r="H388">
        <v>1921</v>
      </c>
      <c r="I388" t="s">
        <v>20</v>
      </c>
      <c r="J388" t="str">
        <f t="shared" si="18"/>
        <v>Adult</v>
      </c>
      <c r="K388" t="str">
        <f t="shared" si="19"/>
        <v>September</v>
      </c>
      <c r="L388">
        <f t="shared" si="20"/>
        <v>2024</v>
      </c>
    </row>
    <row r="389" spans="1:12" x14ac:dyDescent="0.25">
      <c r="A389" t="s">
        <v>419</v>
      </c>
      <c r="B389" s="1">
        <v>45564.167630046293</v>
      </c>
      <c r="C389">
        <v>79</v>
      </c>
      <c r="D389" t="s">
        <v>16</v>
      </c>
      <c r="E389" t="s">
        <v>30</v>
      </c>
      <c r="F389" t="s">
        <v>25</v>
      </c>
      <c r="G389" t="s">
        <v>26</v>
      </c>
      <c r="H389">
        <v>697</v>
      </c>
      <c r="I389" t="s">
        <v>20</v>
      </c>
      <c r="J389" t="str">
        <f t="shared" si="18"/>
        <v>Senior</v>
      </c>
      <c r="K389" t="str">
        <f t="shared" si="19"/>
        <v>September</v>
      </c>
      <c r="L389">
        <f t="shared" si="20"/>
        <v>2024</v>
      </c>
    </row>
    <row r="390" spans="1:12" x14ac:dyDescent="0.25">
      <c r="A390" t="s">
        <v>420</v>
      </c>
      <c r="B390" s="1">
        <v>45564.870905578704</v>
      </c>
      <c r="C390">
        <v>76</v>
      </c>
      <c r="D390" t="s">
        <v>10</v>
      </c>
      <c r="E390" t="s">
        <v>33</v>
      </c>
      <c r="F390" t="s">
        <v>25</v>
      </c>
      <c r="G390" t="s">
        <v>13</v>
      </c>
      <c r="H390">
        <v>2534</v>
      </c>
      <c r="I390" t="s">
        <v>14</v>
      </c>
      <c r="J390" t="str">
        <f t="shared" si="18"/>
        <v>Senior</v>
      </c>
      <c r="K390" t="str">
        <f t="shared" si="19"/>
        <v>September</v>
      </c>
      <c r="L390">
        <f t="shared" si="20"/>
        <v>2024</v>
      </c>
    </row>
    <row r="391" spans="1:12" x14ac:dyDescent="0.25">
      <c r="A391" t="s">
        <v>421</v>
      </c>
      <c r="B391" s="1">
        <v>45565.574181111115</v>
      </c>
      <c r="C391">
        <v>59</v>
      </c>
      <c r="D391" t="s">
        <v>10</v>
      </c>
      <c r="E391" t="s">
        <v>33</v>
      </c>
      <c r="F391" t="s">
        <v>34</v>
      </c>
      <c r="G391" t="s">
        <v>19</v>
      </c>
      <c r="H391">
        <v>827</v>
      </c>
      <c r="I391" t="s">
        <v>14</v>
      </c>
      <c r="J391" t="str">
        <f t="shared" si="18"/>
        <v>Middle Age</v>
      </c>
      <c r="K391" t="str">
        <f t="shared" si="19"/>
        <v>September</v>
      </c>
      <c r="L391">
        <f t="shared" si="20"/>
        <v>2024</v>
      </c>
    </row>
    <row r="392" spans="1:12" x14ac:dyDescent="0.25">
      <c r="A392" t="s">
        <v>422</v>
      </c>
      <c r="B392" s="1">
        <v>45566.277456643518</v>
      </c>
      <c r="C392">
        <v>43</v>
      </c>
      <c r="D392" t="s">
        <v>16</v>
      </c>
      <c r="E392" t="s">
        <v>33</v>
      </c>
      <c r="F392" t="s">
        <v>12</v>
      </c>
      <c r="G392" t="s">
        <v>40</v>
      </c>
      <c r="H392">
        <v>2122</v>
      </c>
      <c r="I392" t="s">
        <v>14</v>
      </c>
      <c r="J392" t="str">
        <f t="shared" si="18"/>
        <v>Middle Age</v>
      </c>
      <c r="K392" t="str">
        <f t="shared" si="19"/>
        <v>October</v>
      </c>
      <c r="L392">
        <f t="shared" si="20"/>
        <v>2024</v>
      </c>
    </row>
    <row r="393" spans="1:12" x14ac:dyDescent="0.25">
      <c r="A393" t="s">
        <v>423</v>
      </c>
      <c r="B393" s="1">
        <v>45566.980732175929</v>
      </c>
      <c r="C393">
        <v>27</v>
      </c>
      <c r="D393" t="s">
        <v>10</v>
      </c>
      <c r="E393" t="s">
        <v>22</v>
      </c>
      <c r="F393" t="s">
        <v>12</v>
      </c>
      <c r="G393" t="s">
        <v>19</v>
      </c>
      <c r="H393">
        <v>1893</v>
      </c>
      <c r="I393" t="s">
        <v>14</v>
      </c>
      <c r="J393" t="str">
        <f t="shared" si="18"/>
        <v>Adult</v>
      </c>
      <c r="K393" t="str">
        <f t="shared" si="19"/>
        <v>October</v>
      </c>
      <c r="L393">
        <f t="shared" si="20"/>
        <v>2024</v>
      </c>
    </row>
    <row r="394" spans="1:12" x14ac:dyDescent="0.25">
      <c r="A394" t="s">
        <v>424</v>
      </c>
      <c r="B394" s="1">
        <v>45567.684007696756</v>
      </c>
      <c r="C394">
        <v>22</v>
      </c>
      <c r="D394" t="s">
        <v>16</v>
      </c>
      <c r="E394" t="s">
        <v>52</v>
      </c>
      <c r="F394" t="s">
        <v>23</v>
      </c>
      <c r="G394" t="s">
        <v>40</v>
      </c>
      <c r="H394">
        <v>391</v>
      </c>
      <c r="I394" t="s">
        <v>20</v>
      </c>
      <c r="J394" t="str">
        <f t="shared" si="18"/>
        <v>Adult</v>
      </c>
      <c r="K394" t="str">
        <f t="shared" si="19"/>
        <v>October</v>
      </c>
      <c r="L394">
        <f t="shared" si="20"/>
        <v>2024</v>
      </c>
    </row>
    <row r="395" spans="1:12" x14ac:dyDescent="0.25">
      <c r="A395" t="s">
        <v>425</v>
      </c>
      <c r="B395" s="1">
        <v>45568.387283229167</v>
      </c>
      <c r="C395">
        <v>59</v>
      </c>
      <c r="D395" t="s">
        <v>16</v>
      </c>
      <c r="E395" t="s">
        <v>52</v>
      </c>
      <c r="F395" t="s">
        <v>34</v>
      </c>
      <c r="G395" t="s">
        <v>26</v>
      </c>
      <c r="H395">
        <v>397</v>
      </c>
      <c r="I395" t="s">
        <v>14</v>
      </c>
      <c r="J395" t="str">
        <f t="shared" si="18"/>
        <v>Middle Age</v>
      </c>
      <c r="K395" t="str">
        <f t="shared" si="19"/>
        <v>October</v>
      </c>
      <c r="L395">
        <f t="shared" si="20"/>
        <v>2024</v>
      </c>
    </row>
    <row r="396" spans="1:12" x14ac:dyDescent="0.25">
      <c r="A396" t="s">
        <v>426</v>
      </c>
      <c r="B396" s="1">
        <v>45569.090558761571</v>
      </c>
      <c r="C396">
        <v>17</v>
      </c>
      <c r="D396" t="s">
        <v>16</v>
      </c>
      <c r="E396" t="s">
        <v>17</v>
      </c>
      <c r="F396" t="s">
        <v>12</v>
      </c>
      <c r="G396" t="s">
        <v>40</v>
      </c>
      <c r="H396">
        <v>677</v>
      </c>
      <c r="I396" t="s">
        <v>20</v>
      </c>
      <c r="J396" t="str">
        <f t="shared" si="18"/>
        <v>Child</v>
      </c>
      <c r="K396" t="str">
        <f t="shared" si="19"/>
        <v>October</v>
      </c>
      <c r="L396">
        <f t="shared" si="20"/>
        <v>2024</v>
      </c>
    </row>
    <row r="397" spans="1:12" x14ac:dyDescent="0.25">
      <c r="A397" t="s">
        <v>427</v>
      </c>
      <c r="B397" s="1">
        <v>45569.793834293981</v>
      </c>
      <c r="C397">
        <v>38</v>
      </c>
      <c r="D397" t="s">
        <v>16</v>
      </c>
      <c r="E397" t="s">
        <v>30</v>
      </c>
      <c r="F397" t="s">
        <v>12</v>
      </c>
      <c r="G397" t="s">
        <v>13</v>
      </c>
      <c r="H397">
        <v>1917</v>
      </c>
      <c r="I397" t="s">
        <v>20</v>
      </c>
      <c r="J397" t="str">
        <f t="shared" si="18"/>
        <v>Adult</v>
      </c>
      <c r="K397" t="str">
        <f t="shared" si="19"/>
        <v>October</v>
      </c>
      <c r="L397">
        <f t="shared" si="20"/>
        <v>2024</v>
      </c>
    </row>
    <row r="398" spans="1:12" x14ac:dyDescent="0.25">
      <c r="A398" t="s">
        <v>428</v>
      </c>
      <c r="B398" s="1">
        <v>45570.497109826392</v>
      </c>
      <c r="C398">
        <v>12</v>
      </c>
      <c r="D398" t="s">
        <v>16</v>
      </c>
      <c r="E398" t="s">
        <v>36</v>
      </c>
      <c r="F398" t="s">
        <v>12</v>
      </c>
      <c r="G398" t="s">
        <v>40</v>
      </c>
      <c r="H398">
        <v>899</v>
      </c>
      <c r="I398" t="s">
        <v>20</v>
      </c>
      <c r="J398" t="str">
        <f t="shared" si="18"/>
        <v>Child</v>
      </c>
      <c r="K398" t="str">
        <f t="shared" si="19"/>
        <v>October</v>
      </c>
      <c r="L398">
        <f t="shared" si="20"/>
        <v>2024</v>
      </c>
    </row>
    <row r="399" spans="1:12" x14ac:dyDescent="0.25">
      <c r="A399" t="s">
        <v>429</v>
      </c>
      <c r="B399" s="1">
        <v>45571.20038534722</v>
      </c>
      <c r="C399">
        <v>23</v>
      </c>
      <c r="D399" t="s">
        <v>10</v>
      </c>
      <c r="E399" t="s">
        <v>52</v>
      </c>
      <c r="F399" t="s">
        <v>25</v>
      </c>
      <c r="G399" t="s">
        <v>19</v>
      </c>
      <c r="H399">
        <v>495</v>
      </c>
      <c r="I399" t="s">
        <v>14</v>
      </c>
      <c r="J399" t="str">
        <f t="shared" si="18"/>
        <v>Adult</v>
      </c>
      <c r="K399" t="str">
        <f t="shared" si="19"/>
        <v>October</v>
      </c>
      <c r="L399">
        <f t="shared" si="20"/>
        <v>2024</v>
      </c>
    </row>
    <row r="400" spans="1:12" x14ac:dyDescent="0.25">
      <c r="A400" t="s">
        <v>430</v>
      </c>
      <c r="B400" s="1">
        <v>45571.90366087963</v>
      </c>
      <c r="C400">
        <v>7</v>
      </c>
      <c r="D400" t="s">
        <v>10</v>
      </c>
      <c r="E400" t="s">
        <v>22</v>
      </c>
      <c r="F400" t="s">
        <v>18</v>
      </c>
      <c r="G400" t="s">
        <v>40</v>
      </c>
      <c r="H400">
        <v>1370</v>
      </c>
      <c r="I400" t="s">
        <v>14</v>
      </c>
      <c r="J400" t="str">
        <f t="shared" si="18"/>
        <v>Child</v>
      </c>
      <c r="K400" t="str">
        <f t="shared" si="19"/>
        <v>October</v>
      </c>
      <c r="L400">
        <f t="shared" si="20"/>
        <v>2024</v>
      </c>
    </row>
    <row r="401" spans="1:12" x14ac:dyDescent="0.25">
      <c r="A401" t="s">
        <v>431</v>
      </c>
      <c r="B401" s="1">
        <v>45572.606936412034</v>
      </c>
      <c r="C401">
        <v>15</v>
      </c>
      <c r="D401" t="s">
        <v>10</v>
      </c>
      <c r="E401" t="s">
        <v>52</v>
      </c>
      <c r="F401" t="s">
        <v>34</v>
      </c>
      <c r="G401" t="s">
        <v>26</v>
      </c>
      <c r="H401">
        <v>1502</v>
      </c>
      <c r="I401" t="s">
        <v>20</v>
      </c>
      <c r="J401" t="str">
        <f t="shared" si="18"/>
        <v>Child</v>
      </c>
      <c r="K401" t="str">
        <f t="shared" si="19"/>
        <v>October</v>
      </c>
      <c r="L401">
        <f t="shared" si="20"/>
        <v>2024</v>
      </c>
    </row>
    <row r="402" spans="1:12" x14ac:dyDescent="0.25">
      <c r="A402" t="s">
        <v>432</v>
      </c>
      <c r="B402" s="1">
        <v>45573.310211944445</v>
      </c>
      <c r="C402">
        <v>88</v>
      </c>
      <c r="D402" t="s">
        <v>10</v>
      </c>
      <c r="E402" t="s">
        <v>28</v>
      </c>
      <c r="F402" t="s">
        <v>18</v>
      </c>
      <c r="G402" t="s">
        <v>26</v>
      </c>
      <c r="H402">
        <v>2857</v>
      </c>
      <c r="I402" t="s">
        <v>14</v>
      </c>
      <c r="J402" t="str">
        <f t="shared" si="18"/>
        <v>Senior</v>
      </c>
      <c r="K402" t="str">
        <f t="shared" si="19"/>
        <v>October</v>
      </c>
      <c r="L402">
        <f t="shared" si="20"/>
        <v>2024</v>
      </c>
    </row>
    <row r="403" spans="1:12" x14ac:dyDescent="0.25">
      <c r="A403" t="s">
        <v>433</v>
      </c>
      <c r="B403" s="1">
        <v>45574.013487465279</v>
      </c>
      <c r="C403">
        <v>76</v>
      </c>
      <c r="D403" t="s">
        <v>10</v>
      </c>
      <c r="E403" t="s">
        <v>52</v>
      </c>
      <c r="F403" t="s">
        <v>34</v>
      </c>
      <c r="G403" t="s">
        <v>19</v>
      </c>
      <c r="H403">
        <v>626</v>
      </c>
      <c r="I403" t="s">
        <v>20</v>
      </c>
      <c r="J403" t="str">
        <f t="shared" si="18"/>
        <v>Senior</v>
      </c>
      <c r="K403" t="str">
        <f t="shared" si="19"/>
        <v>October</v>
      </c>
      <c r="L403">
        <f t="shared" si="20"/>
        <v>2024</v>
      </c>
    </row>
    <row r="404" spans="1:12" x14ac:dyDescent="0.25">
      <c r="A404" t="s">
        <v>434</v>
      </c>
      <c r="B404" s="1">
        <v>45574.716762997683</v>
      </c>
      <c r="C404">
        <v>36</v>
      </c>
      <c r="D404" t="s">
        <v>16</v>
      </c>
      <c r="E404" t="s">
        <v>30</v>
      </c>
      <c r="F404" t="s">
        <v>23</v>
      </c>
      <c r="G404" t="s">
        <v>26</v>
      </c>
      <c r="H404">
        <v>1218</v>
      </c>
      <c r="I404" t="s">
        <v>14</v>
      </c>
      <c r="J404" t="str">
        <f t="shared" si="18"/>
        <v>Adult</v>
      </c>
      <c r="K404" t="str">
        <f t="shared" si="19"/>
        <v>October</v>
      </c>
      <c r="L404">
        <f t="shared" si="20"/>
        <v>2024</v>
      </c>
    </row>
    <row r="405" spans="1:12" x14ac:dyDescent="0.25">
      <c r="A405" t="s">
        <v>435</v>
      </c>
      <c r="B405" s="1">
        <v>45575.420038530094</v>
      </c>
      <c r="C405">
        <v>64</v>
      </c>
      <c r="D405" t="s">
        <v>16</v>
      </c>
      <c r="E405" t="s">
        <v>30</v>
      </c>
      <c r="F405" t="s">
        <v>50</v>
      </c>
      <c r="G405" t="s">
        <v>13</v>
      </c>
      <c r="H405">
        <v>2956</v>
      </c>
      <c r="I405" t="s">
        <v>14</v>
      </c>
      <c r="J405" t="str">
        <f t="shared" si="18"/>
        <v>Senior</v>
      </c>
      <c r="K405" t="str">
        <f t="shared" si="19"/>
        <v>October</v>
      </c>
      <c r="L405">
        <f t="shared" si="20"/>
        <v>2024</v>
      </c>
    </row>
    <row r="406" spans="1:12" x14ac:dyDescent="0.25">
      <c r="A406" t="s">
        <v>436</v>
      </c>
      <c r="B406" s="1">
        <v>45576.123314062497</v>
      </c>
      <c r="C406">
        <v>33</v>
      </c>
      <c r="D406" t="s">
        <v>10</v>
      </c>
      <c r="E406" t="s">
        <v>30</v>
      </c>
      <c r="F406" t="s">
        <v>18</v>
      </c>
      <c r="G406" t="s">
        <v>13</v>
      </c>
      <c r="H406">
        <v>1475</v>
      </c>
      <c r="I406" t="s">
        <v>14</v>
      </c>
      <c r="J406" t="str">
        <f t="shared" si="18"/>
        <v>Adult</v>
      </c>
      <c r="K406" t="str">
        <f t="shared" si="19"/>
        <v>October</v>
      </c>
      <c r="L406">
        <f t="shared" si="20"/>
        <v>2024</v>
      </c>
    </row>
    <row r="407" spans="1:12" x14ac:dyDescent="0.25">
      <c r="A407" t="s">
        <v>437</v>
      </c>
      <c r="B407" s="1">
        <v>45576.826589594908</v>
      </c>
      <c r="C407">
        <v>50</v>
      </c>
      <c r="D407" t="s">
        <v>10</v>
      </c>
      <c r="E407" t="s">
        <v>36</v>
      </c>
      <c r="F407" t="s">
        <v>34</v>
      </c>
      <c r="G407" t="s">
        <v>26</v>
      </c>
      <c r="H407">
        <v>749</v>
      </c>
      <c r="I407" t="s">
        <v>14</v>
      </c>
      <c r="J407" t="str">
        <f t="shared" si="18"/>
        <v>Middle Age</v>
      </c>
      <c r="K407" t="str">
        <f t="shared" si="19"/>
        <v>October</v>
      </c>
      <c r="L407">
        <f t="shared" si="20"/>
        <v>2024</v>
      </c>
    </row>
    <row r="408" spans="1:12" x14ac:dyDescent="0.25">
      <c r="A408" t="s">
        <v>438</v>
      </c>
      <c r="B408" s="1">
        <v>45577.529865115743</v>
      </c>
      <c r="C408">
        <v>1</v>
      </c>
      <c r="D408" t="s">
        <v>10</v>
      </c>
      <c r="E408" t="s">
        <v>28</v>
      </c>
      <c r="F408" t="s">
        <v>18</v>
      </c>
      <c r="G408" t="s">
        <v>26</v>
      </c>
      <c r="H408">
        <v>2316</v>
      </c>
      <c r="I408" t="s">
        <v>14</v>
      </c>
      <c r="J408" t="str">
        <f t="shared" si="18"/>
        <v>Child</v>
      </c>
      <c r="K408" t="str">
        <f t="shared" si="19"/>
        <v>October</v>
      </c>
      <c r="L408">
        <f t="shared" si="20"/>
        <v>2024</v>
      </c>
    </row>
    <row r="409" spans="1:12" x14ac:dyDescent="0.25">
      <c r="A409" t="s">
        <v>439</v>
      </c>
      <c r="B409" s="1">
        <v>45578.233140648146</v>
      </c>
      <c r="C409">
        <v>23</v>
      </c>
      <c r="D409" t="s">
        <v>16</v>
      </c>
      <c r="E409" t="s">
        <v>11</v>
      </c>
      <c r="F409" t="s">
        <v>23</v>
      </c>
      <c r="G409" t="s">
        <v>13</v>
      </c>
      <c r="H409">
        <v>938</v>
      </c>
      <c r="I409" t="s">
        <v>20</v>
      </c>
      <c r="J409" t="str">
        <f t="shared" si="18"/>
        <v>Adult</v>
      </c>
      <c r="K409" t="str">
        <f t="shared" si="19"/>
        <v>October</v>
      </c>
      <c r="L409">
        <f t="shared" si="20"/>
        <v>2024</v>
      </c>
    </row>
    <row r="410" spans="1:12" x14ac:dyDescent="0.25">
      <c r="A410" t="s">
        <v>440</v>
      </c>
      <c r="B410" s="1">
        <v>45578.936416180557</v>
      </c>
      <c r="C410">
        <v>71</v>
      </c>
      <c r="D410" t="s">
        <v>16</v>
      </c>
      <c r="E410" t="s">
        <v>28</v>
      </c>
      <c r="F410" t="s">
        <v>25</v>
      </c>
      <c r="G410" t="s">
        <v>19</v>
      </c>
      <c r="H410">
        <v>1577</v>
      </c>
      <c r="I410" t="s">
        <v>14</v>
      </c>
      <c r="J410" t="str">
        <f t="shared" si="18"/>
        <v>Senior</v>
      </c>
      <c r="K410" t="str">
        <f t="shared" si="19"/>
        <v>October</v>
      </c>
      <c r="L410">
        <f t="shared" si="20"/>
        <v>2024</v>
      </c>
    </row>
    <row r="411" spans="1:12" x14ac:dyDescent="0.25">
      <c r="A411" t="s">
        <v>441</v>
      </c>
      <c r="B411" s="1">
        <v>45579.63969171296</v>
      </c>
      <c r="C411">
        <v>37</v>
      </c>
      <c r="D411" t="s">
        <v>10</v>
      </c>
      <c r="E411" t="s">
        <v>22</v>
      </c>
      <c r="F411" t="s">
        <v>12</v>
      </c>
      <c r="G411" t="s">
        <v>26</v>
      </c>
      <c r="H411">
        <v>599</v>
      </c>
      <c r="I411" t="s">
        <v>14</v>
      </c>
      <c r="J411" t="str">
        <f t="shared" si="18"/>
        <v>Adult</v>
      </c>
      <c r="K411" t="str">
        <f t="shared" si="19"/>
        <v>October</v>
      </c>
      <c r="L411">
        <f t="shared" si="20"/>
        <v>2024</v>
      </c>
    </row>
    <row r="412" spans="1:12" x14ac:dyDescent="0.25">
      <c r="A412" t="s">
        <v>442</v>
      </c>
      <c r="B412" s="1">
        <v>45580.342967233795</v>
      </c>
      <c r="C412">
        <v>19</v>
      </c>
      <c r="D412" t="s">
        <v>16</v>
      </c>
      <c r="E412" t="s">
        <v>33</v>
      </c>
      <c r="F412" t="s">
        <v>31</v>
      </c>
      <c r="G412" t="s">
        <v>13</v>
      </c>
      <c r="H412">
        <v>1029</v>
      </c>
      <c r="I412" t="s">
        <v>14</v>
      </c>
      <c r="J412" t="str">
        <f t="shared" si="18"/>
        <v>Adult</v>
      </c>
      <c r="K412" t="str">
        <f t="shared" si="19"/>
        <v>October</v>
      </c>
      <c r="L412">
        <f t="shared" si="20"/>
        <v>2024</v>
      </c>
    </row>
    <row r="413" spans="1:12" x14ac:dyDescent="0.25">
      <c r="A413" t="s">
        <v>443</v>
      </c>
      <c r="B413" s="1">
        <v>45581.046242766206</v>
      </c>
      <c r="C413">
        <v>28</v>
      </c>
      <c r="D413" t="s">
        <v>16</v>
      </c>
      <c r="E413" t="s">
        <v>52</v>
      </c>
      <c r="F413" t="s">
        <v>23</v>
      </c>
      <c r="G413" t="s">
        <v>40</v>
      </c>
      <c r="H413">
        <v>1953</v>
      </c>
      <c r="I413" t="s">
        <v>14</v>
      </c>
      <c r="J413" t="str">
        <f t="shared" si="18"/>
        <v>Adult</v>
      </c>
      <c r="K413" t="str">
        <f t="shared" si="19"/>
        <v>October</v>
      </c>
      <c r="L413">
        <f t="shared" si="20"/>
        <v>2024</v>
      </c>
    </row>
    <row r="414" spans="1:12" x14ac:dyDescent="0.25">
      <c r="A414" t="s">
        <v>444</v>
      </c>
      <c r="B414" s="1">
        <v>45581.749518298609</v>
      </c>
      <c r="C414">
        <v>29</v>
      </c>
      <c r="D414" t="s">
        <v>16</v>
      </c>
      <c r="E414" t="s">
        <v>33</v>
      </c>
      <c r="F414" t="s">
        <v>50</v>
      </c>
      <c r="G414" t="s">
        <v>19</v>
      </c>
      <c r="H414">
        <v>2051</v>
      </c>
      <c r="I414" t="s">
        <v>20</v>
      </c>
      <c r="J414" t="str">
        <f t="shared" si="18"/>
        <v>Adult</v>
      </c>
      <c r="K414" t="str">
        <f t="shared" si="19"/>
        <v>October</v>
      </c>
      <c r="L414">
        <f t="shared" si="20"/>
        <v>2024</v>
      </c>
    </row>
    <row r="415" spans="1:12" x14ac:dyDescent="0.25">
      <c r="A415" t="s">
        <v>445</v>
      </c>
      <c r="B415" s="1">
        <v>45582.45279383102</v>
      </c>
      <c r="C415">
        <v>53</v>
      </c>
      <c r="D415" t="s">
        <v>10</v>
      </c>
      <c r="E415" t="s">
        <v>17</v>
      </c>
      <c r="F415" t="s">
        <v>18</v>
      </c>
      <c r="G415" t="s">
        <v>13</v>
      </c>
      <c r="H415">
        <v>2265</v>
      </c>
      <c r="I415" t="s">
        <v>14</v>
      </c>
      <c r="J415" t="str">
        <f t="shared" si="18"/>
        <v>Middle Age</v>
      </c>
      <c r="K415" t="str">
        <f t="shared" si="19"/>
        <v>October</v>
      </c>
      <c r="L415">
        <f t="shared" si="20"/>
        <v>2024</v>
      </c>
    </row>
    <row r="416" spans="1:12" x14ac:dyDescent="0.25">
      <c r="A416" t="s">
        <v>446</v>
      </c>
      <c r="B416" s="1">
        <v>45583.156069363424</v>
      </c>
      <c r="C416">
        <v>51</v>
      </c>
      <c r="D416" t="s">
        <v>10</v>
      </c>
      <c r="E416" t="s">
        <v>11</v>
      </c>
      <c r="F416" t="s">
        <v>18</v>
      </c>
      <c r="G416" t="s">
        <v>26</v>
      </c>
      <c r="H416">
        <v>1501</v>
      </c>
      <c r="I416" t="s">
        <v>14</v>
      </c>
      <c r="J416" t="str">
        <f t="shared" si="18"/>
        <v>Middle Age</v>
      </c>
      <c r="K416" t="str">
        <f t="shared" si="19"/>
        <v>October</v>
      </c>
      <c r="L416">
        <f t="shared" si="20"/>
        <v>2024</v>
      </c>
    </row>
    <row r="417" spans="1:12" x14ac:dyDescent="0.25">
      <c r="A417" t="s">
        <v>447</v>
      </c>
      <c r="B417" s="1">
        <v>45583.859344884258</v>
      </c>
      <c r="C417">
        <v>47</v>
      </c>
      <c r="D417" t="s">
        <v>10</v>
      </c>
      <c r="E417" t="s">
        <v>36</v>
      </c>
      <c r="F417" t="s">
        <v>25</v>
      </c>
      <c r="G417" t="s">
        <v>19</v>
      </c>
      <c r="H417">
        <v>524</v>
      </c>
      <c r="I417" t="s">
        <v>14</v>
      </c>
      <c r="J417" t="str">
        <f t="shared" si="18"/>
        <v>Middle Age</v>
      </c>
      <c r="K417" t="str">
        <f t="shared" si="19"/>
        <v>October</v>
      </c>
      <c r="L417">
        <f t="shared" si="20"/>
        <v>2024</v>
      </c>
    </row>
    <row r="418" spans="1:12" x14ac:dyDescent="0.25">
      <c r="A418" t="s">
        <v>448</v>
      </c>
      <c r="B418" s="1">
        <v>45584.562620416669</v>
      </c>
      <c r="C418">
        <v>8</v>
      </c>
      <c r="D418" t="s">
        <v>10</v>
      </c>
      <c r="E418" t="s">
        <v>22</v>
      </c>
      <c r="F418" t="s">
        <v>12</v>
      </c>
      <c r="G418" t="s">
        <v>26</v>
      </c>
      <c r="H418">
        <v>848</v>
      </c>
      <c r="I418" t="s">
        <v>14</v>
      </c>
      <c r="J418" t="str">
        <f t="shared" si="18"/>
        <v>Child</v>
      </c>
      <c r="K418" t="str">
        <f t="shared" si="19"/>
        <v>October</v>
      </c>
      <c r="L418">
        <f t="shared" si="20"/>
        <v>2024</v>
      </c>
    </row>
    <row r="419" spans="1:12" x14ac:dyDescent="0.25">
      <c r="A419" t="s">
        <v>449</v>
      </c>
      <c r="B419" s="1">
        <v>45585.265895949073</v>
      </c>
      <c r="C419">
        <v>86</v>
      </c>
      <c r="D419" t="s">
        <v>16</v>
      </c>
      <c r="E419" t="s">
        <v>11</v>
      </c>
      <c r="F419" t="s">
        <v>25</v>
      </c>
      <c r="G419" t="s">
        <v>19</v>
      </c>
      <c r="H419">
        <v>1531</v>
      </c>
      <c r="I419" t="s">
        <v>14</v>
      </c>
      <c r="J419" t="str">
        <f t="shared" si="18"/>
        <v>Senior</v>
      </c>
      <c r="K419" t="str">
        <f t="shared" si="19"/>
        <v>October</v>
      </c>
      <c r="L419">
        <f t="shared" si="20"/>
        <v>2024</v>
      </c>
    </row>
    <row r="420" spans="1:12" x14ac:dyDescent="0.25">
      <c r="A420" t="s">
        <v>450</v>
      </c>
      <c r="B420" s="1">
        <v>45585.969171481483</v>
      </c>
      <c r="C420">
        <v>17</v>
      </c>
      <c r="D420" t="s">
        <v>16</v>
      </c>
      <c r="E420" t="s">
        <v>52</v>
      </c>
      <c r="F420" t="s">
        <v>18</v>
      </c>
      <c r="G420" t="s">
        <v>26</v>
      </c>
      <c r="H420">
        <v>1265</v>
      </c>
      <c r="I420" t="s">
        <v>14</v>
      </c>
      <c r="J420" t="str">
        <f t="shared" si="18"/>
        <v>Child</v>
      </c>
      <c r="K420" t="str">
        <f t="shared" si="19"/>
        <v>October</v>
      </c>
      <c r="L420">
        <f t="shared" si="20"/>
        <v>2024</v>
      </c>
    </row>
    <row r="421" spans="1:12" x14ac:dyDescent="0.25">
      <c r="A421" t="s">
        <v>451</v>
      </c>
      <c r="B421" s="1">
        <v>45586.672447002318</v>
      </c>
      <c r="C421">
        <v>30</v>
      </c>
      <c r="D421" t="s">
        <v>10</v>
      </c>
      <c r="E421" t="s">
        <v>30</v>
      </c>
      <c r="F421" t="s">
        <v>31</v>
      </c>
      <c r="G421" t="s">
        <v>40</v>
      </c>
      <c r="H421">
        <v>1804</v>
      </c>
      <c r="I421" t="s">
        <v>14</v>
      </c>
      <c r="J421" t="str">
        <f t="shared" si="18"/>
        <v>Adult</v>
      </c>
      <c r="K421" t="str">
        <f t="shared" si="19"/>
        <v>October</v>
      </c>
      <c r="L421">
        <f t="shared" si="20"/>
        <v>2024</v>
      </c>
    </row>
    <row r="422" spans="1:12" x14ac:dyDescent="0.25">
      <c r="A422" t="s">
        <v>452</v>
      </c>
      <c r="B422" s="1">
        <v>45587.375722534722</v>
      </c>
      <c r="C422">
        <v>12</v>
      </c>
      <c r="D422" t="s">
        <v>16</v>
      </c>
      <c r="E422" t="s">
        <v>28</v>
      </c>
      <c r="F422" t="s">
        <v>18</v>
      </c>
      <c r="G422" t="s">
        <v>13</v>
      </c>
      <c r="H422">
        <v>2402</v>
      </c>
      <c r="I422" t="s">
        <v>14</v>
      </c>
      <c r="J422" t="str">
        <f t="shared" si="18"/>
        <v>Child</v>
      </c>
      <c r="K422" t="str">
        <f t="shared" si="19"/>
        <v>October</v>
      </c>
      <c r="L422">
        <f t="shared" si="20"/>
        <v>2024</v>
      </c>
    </row>
    <row r="423" spans="1:12" x14ac:dyDescent="0.25">
      <c r="A423" t="s">
        <v>453</v>
      </c>
      <c r="B423" s="1">
        <v>45588.078998067132</v>
      </c>
      <c r="C423">
        <v>62</v>
      </c>
      <c r="D423" t="s">
        <v>10</v>
      </c>
      <c r="E423" t="s">
        <v>22</v>
      </c>
      <c r="F423" t="s">
        <v>34</v>
      </c>
      <c r="G423" t="s">
        <v>19</v>
      </c>
      <c r="H423">
        <v>2797</v>
      </c>
      <c r="I423" t="s">
        <v>20</v>
      </c>
      <c r="J423" t="str">
        <f t="shared" si="18"/>
        <v>Senior</v>
      </c>
      <c r="K423" t="str">
        <f t="shared" si="19"/>
        <v>October</v>
      </c>
      <c r="L423">
        <f t="shared" si="20"/>
        <v>2024</v>
      </c>
    </row>
    <row r="424" spans="1:12" x14ac:dyDescent="0.25">
      <c r="A424" t="s">
        <v>454</v>
      </c>
      <c r="B424" s="1">
        <v>45588.782273599536</v>
      </c>
      <c r="C424">
        <v>15</v>
      </c>
      <c r="D424" t="s">
        <v>10</v>
      </c>
      <c r="E424" t="s">
        <v>11</v>
      </c>
      <c r="F424" t="s">
        <v>31</v>
      </c>
      <c r="G424" t="s">
        <v>19</v>
      </c>
      <c r="H424">
        <v>2700</v>
      </c>
      <c r="I424" t="s">
        <v>20</v>
      </c>
      <c r="J424" t="str">
        <f t="shared" si="18"/>
        <v>Child</v>
      </c>
      <c r="K424" t="str">
        <f t="shared" si="19"/>
        <v>October</v>
      </c>
      <c r="L424">
        <f t="shared" si="20"/>
        <v>2024</v>
      </c>
    </row>
    <row r="425" spans="1:12" x14ac:dyDescent="0.25">
      <c r="A425" t="s">
        <v>455</v>
      </c>
      <c r="B425" s="1">
        <v>45589.485549131947</v>
      </c>
      <c r="C425">
        <v>31</v>
      </c>
      <c r="D425" t="s">
        <v>16</v>
      </c>
      <c r="E425" t="s">
        <v>33</v>
      </c>
      <c r="F425" t="s">
        <v>25</v>
      </c>
      <c r="G425" t="s">
        <v>40</v>
      </c>
      <c r="H425">
        <v>2729</v>
      </c>
      <c r="I425" t="s">
        <v>14</v>
      </c>
      <c r="J425" t="str">
        <f t="shared" si="18"/>
        <v>Adult</v>
      </c>
      <c r="K425" t="str">
        <f t="shared" si="19"/>
        <v>October</v>
      </c>
      <c r="L425">
        <f t="shared" si="20"/>
        <v>2024</v>
      </c>
    </row>
    <row r="426" spans="1:12" x14ac:dyDescent="0.25">
      <c r="A426" t="s">
        <v>456</v>
      </c>
      <c r="B426" s="1">
        <v>45590.188824652774</v>
      </c>
      <c r="C426">
        <v>9</v>
      </c>
      <c r="D426" t="s">
        <v>16</v>
      </c>
      <c r="E426" t="s">
        <v>33</v>
      </c>
      <c r="F426" t="s">
        <v>12</v>
      </c>
      <c r="G426" t="s">
        <v>19</v>
      </c>
      <c r="H426">
        <v>1502</v>
      </c>
      <c r="I426" t="s">
        <v>20</v>
      </c>
      <c r="J426" t="str">
        <f t="shared" si="18"/>
        <v>Child</v>
      </c>
      <c r="K426" t="str">
        <f t="shared" si="19"/>
        <v>October</v>
      </c>
      <c r="L426">
        <f t="shared" si="20"/>
        <v>2024</v>
      </c>
    </row>
    <row r="427" spans="1:12" x14ac:dyDescent="0.25">
      <c r="A427" t="s">
        <v>457</v>
      </c>
      <c r="B427" s="1">
        <v>45590.892100185185</v>
      </c>
      <c r="C427">
        <v>41</v>
      </c>
      <c r="D427" t="s">
        <v>10</v>
      </c>
      <c r="E427" t="s">
        <v>11</v>
      </c>
      <c r="F427" t="s">
        <v>25</v>
      </c>
      <c r="G427" t="s">
        <v>19</v>
      </c>
      <c r="H427">
        <v>423</v>
      </c>
      <c r="I427" t="s">
        <v>14</v>
      </c>
      <c r="J427" t="str">
        <f t="shared" si="18"/>
        <v>Middle Age</v>
      </c>
      <c r="K427" t="str">
        <f t="shared" si="19"/>
        <v>October</v>
      </c>
      <c r="L427">
        <f t="shared" si="20"/>
        <v>2024</v>
      </c>
    </row>
    <row r="428" spans="1:12" x14ac:dyDescent="0.25">
      <c r="A428" t="s">
        <v>458</v>
      </c>
      <c r="B428" s="1">
        <v>45591.595375717596</v>
      </c>
      <c r="C428">
        <v>49</v>
      </c>
      <c r="D428" t="s">
        <v>10</v>
      </c>
      <c r="E428" t="s">
        <v>17</v>
      </c>
      <c r="F428" t="s">
        <v>50</v>
      </c>
      <c r="G428" t="s">
        <v>13</v>
      </c>
      <c r="H428">
        <v>2055</v>
      </c>
      <c r="I428" t="s">
        <v>20</v>
      </c>
      <c r="J428" t="str">
        <f t="shared" si="18"/>
        <v>Middle Age</v>
      </c>
      <c r="K428" t="str">
        <f t="shared" si="19"/>
        <v>October</v>
      </c>
      <c r="L428">
        <f t="shared" si="20"/>
        <v>2024</v>
      </c>
    </row>
    <row r="429" spans="1:12" x14ac:dyDescent="0.25">
      <c r="A429" t="s">
        <v>459</v>
      </c>
      <c r="B429" s="1">
        <v>45592.298651249999</v>
      </c>
      <c r="C429">
        <v>31</v>
      </c>
      <c r="D429" t="s">
        <v>10</v>
      </c>
      <c r="E429" t="s">
        <v>17</v>
      </c>
      <c r="F429" t="s">
        <v>34</v>
      </c>
      <c r="G429" t="s">
        <v>13</v>
      </c>
      <c r="H429">
        <v>2872</v>
      </c>
      <c r="I429" t="s">
        <v>14</v>
      </c>
      <c r="J429" t="str">
        <f t="shared" si="18"/>
        <v>Adult</v>
      </c>
      <c r="K429" t="str">
        <f t="shared" si="19"/>
        <v>October</v>
      </c>
      <c r="L429">
        <f t="shared" si="20"/>
        <v>2024</v>
      </c>
    </row>
    <row r="430" spans="1:12" x14ac:dyDescent="0.25">
      <c r="A430" t="s">
        <v>460</v>
      </c>
      <c r="B430" s="1">
        <v>45593.001926770834</v>
      </c>
      <c r="C430">
        <v>24</v>
      </c>
      <c r="D430" t="s">
        <v>10</v>
      </c>
      <c r="E430" t="s">
        <v>28</v>
      </c>
      <c r="F430" t="s">
        <v>12</v>
      </c>
      <c r="G430" t="s">
        <v>19</v>
      </c>
      <c r="H430">
        <v>254</v>
      </c>
      <c r="I430" t="s">
        <v>14</v>
      </c>
      <c r="J430" t="str">
        <f t="shared" si="18"/>
        <v>Adult</v>
      </c>
      <c r="K430" t="str">
        <f t="shared" si="19"/>
        <v>October</v>
      </c>
      <c r="L430">
        <f t="shared" si="20"/>
        <v>2024</v>
      </c>
    </row>
    <row r="431" spans="1:12" x14ac:dyDescent="0.25">
      <c r="A431" t="s">
        <v>461</v>
      </c>
      <c r="B431" s="1">
        <v>45593.705202303237</v>
      </c>
      <c r="C431">
        <v>67</v>
      </c>
      <c r="D431" t="s">
        <v>10</v>
      </c>
      <c r="E431" t="s">
        <v>30</v>
      </c>
      <c r="F431" t="s">
        <v>31</v>
      </c>
      <c r="G431" t="s">
        <v>26</v>
      </c>
      <c r="H431">
        <v>812</v>
      </c>
      <c r="I431" t="s">
        <v>20</v>
      </c>
      <c r="J431" t="str">
        <f t="shared" si="18"/>
        <v>Senior</v>
      </c>
      <c r="K431" t="str">
        <f t="shared" si="19"/>
        <v>October</v>
      </c>
      <c r="L431">
        <f t="shared" si="20"/>
        <v>2024</v>
      </c>
    </row>
    <row r="432" spans="1:12" x14ac:dyDescent="0.25">
      <c r="A432" t="s">
        <v>462</v>
      </c>
      <c r="B432" s="1">
        <v>45594.408477835648</v>
      </c>
      <c r="C432">
        <v>65</v>
      </c>
      <c r="D432" t="s">
        <v>16</v>
      </c>
      <c r="E432" t="s">
        <v>22</v>
      </c>
      <c r="F432" t="s">
        <v>18</v>
      </c>
      <c r="G432" t="s">
        <v>13</v>
      </c>
      <c r="H432">
        <v>2461</v>
      </c>
      <c r="I432" t="s">
        <v>20</v>
      </c>
      <c r="J432" t="str">
        <f t="shared" si="18"/>
        <v>Senior</v>
      </c>
      <c r="K432" t="str">
        <f t="shared" si="19"/>
        <v>October</v>
      </c>
      <c r="L432">
        <f t="shared" si="20"/>
        <v>2024</v>
      </c>
    </row>
    <row r="433" spans="1:12" x14ac:dyDescent="0.25">
      <c r="A433" t="s">
        <v>463</v>
      </c>
      <c r="B433" s="1">
        <v>45595.111753368059</v>
      </c>
      <c r="C433">
        <v>13</v>
      </c>
      <c r="D433" t="s">
        <v>16</v>
      </c>
      <c r="E433" t="s">
        <v>33</v>
      </c>
      <c r="F433" t="s">
        <v>50</v>
      </c>
      <c r="G433" t="s">
        <v>13</v>
      </c>
      <c r="H433">
        <v>1839</v>
      </c>
      <c r="I433" t="s">
        <v>14</v>
      </c>
      <c r="J433" t="str">
        <f t="shared" si="18"/>
        <v>Child</v>
      </c>
      <c r="K433" t="str">
        <f t="shared" si="19"/>
        <v>October</v>
      </c>
      <c r="L433">
        <f t="shared" si="20"/>
        <v>2024</v>
      </c>
    </row>
    <row r="434" spans="1:12" x14ac:dyDescent="0.25">
      <c r="A434" t="s">
        <v>464</v>
      </c>
      <c r="B434" s="1">
        <v>45595.815028900462</v>
      </c>
      <c r="C434">
        <v>18</v>
      </c>
      <c r="D434" t="s">
        <v>16</v>
      </c>
      <c r="E434" t="s">
        <v>22</v>
      </c>
      <c r="F434" t="s">
        <v>18</v>
      </c>
      <c r="G434" t="s">
        <v>40</v>
      </c>
      <c r="H434">
        <v>1780</v>
      </c>
      <c r="I434" t="s">
        <v>20</v>
      </c>
      <c r="J434" t="str">
        <f t="shared" si="18"/>
        <v>Adult</v>
      </c>
      <c r="K434" t="str">
        <f t="shared" si="19"/>
        <v>October</v>
      </c>
      <c r="L434">
        <f t="shared" si="20"/>
        <v>2024</v>
      </c>
    </row>
    <row r="435" spans="1:12" x14ac:dyDescent="0.25">
      <c r="A435" t="s">
        <v>465</v>
      </c>
      <c r="B435" s="1">
        <v>45596.518304421297</v>
      </c>
      <c r="C435">
        <v>34</v>
      </c>
      <c r="D435" t="s">
        <v>16</v>
      </c>
      <c r="E435" t="s">
        <v>11</v>
      </c>
      <c r="F435" t="s">
        <v>34</v>
      </c>
      <c r="G435" t="s">
        <v>19</v>
      </c>
      <c r="H435">
        <v>1317</v>
      </c>
      <c r="I435" t="s">
        <v>14</v>
      </c>
      <c r="J435" t="str">
        <f t="shared" si="18"/>
        <v>Adult</v>
      </c>
      <c r="K435" t="str">
        <f t="shared" si="19"/>
        <v>October</v>
      </c>
      <c r="L435">
        <f t="shared" si="20"/>
        <v>2024</v>
      </c>
    </row>
    <row r="436" spans="1:12" x14ac:dyDescent="0.25">
      <c r="A436" t="s">
        <v>466</v>
      </c>
      <c r="B436" s="1">
        <v>45597.221579953701</v>
      </c>
      <c r="C436">
        <v>11</v>
      </c>
      <c r="D436" t="s">
        <v>16</v>
      </c>
      <c r="E436" t="s">
        <v>11</v>
      </c>
      <c r="F436" t="s">
        <v>31</v>
      </c>
      <c r="G436" t="s">
        <v>19</v>
      </c>
      <c r="H436">
        <v>520</v>
      </c>
      <c r="I436" t="s">
        <v>20</v>
      </c>
      <c r="J436" t="str">
        <f t="shared" si="18"/>
        <v>Child</v>
      </c>
      <c r="K436" t="str">
        <f t="shared" si="19"/>
        <v>November</v>
      </c>
      <c r="L436">
        <f t="shared" si="20"/>
        <v>2024</v>
      </c>
    </row>
    <row r="437" spans="1:12" x14ac:dyDescent="0.25">
      <c r="A437" t="s">
        <v>467</v>
      </c>
      <c r="B437" s="1">
        <v>45597.924855486111</v>
      </c>
      <c r="C437">
        <v>29</v>
      </c>
      <c r="D437" t="s">
        <v>10</v>
      </c>
      <c r="E437" t="s">
        <v>11</v>
      </c>
      <c r="F437" t="s">
        <v>23</v>
      </c>
      <c r="G437" t="s">
        <v>40</v>
      </c>
      <c r="H437">
        <v>213</v>
      </c>
      <c r="I437" t="s">
        <v>20</v>
      </c>
      <c r="J437" t="str">
        <f t="shared" si="18"/>
        <v>Adult</v>
      </c>
      <c r="K437" t="str">
        <f t="shared" si="19"/>
        <v>November</v>
      </c>
      <c r="L437">
        <f t="shared" si="20"/>
        <v>2024</v>
      </c>
    </row>
    <row r="438" spans="1:12" x14ac:dyDescent="0.25">
      <c r="A438" t="s">
        <v>468</v>
      </c>
      <c r="B438" s="1">
        <v>45598.628131018515</v>
      </c>
      <c r="C438">
        <v>76</v>
      </c>
      <c r="D438" t="s">
        <v>16</v>
      </c>
      <c r="E438" t="s">
        <v>22</v>
      </c>
      <c r="F438" t="s">
        <v>34</v>
      </c>
      <c r="G438" t="s">
        <v>19</v>
      </c>
      <c r="H438">
        <v>1246</v>
      </c>
      <c r="I438" t="s">
        <v>14</v>
      </c>
      <c r="J438" t="str">
        <f t="shared" si="18"/>
        <v>Senior</v>
      </c>
      <c r="K438" t="str">
        <f t="shared" si="19"/>
        <v>November</v>
      </c>
      <c r="L438">
        <f t="shared" si="20"/>
        <v>2024</v>
      </c>
    </row>
    <row r="439" spans="1:12" x14ac:dyDescent="0.25">
      <c r="A439" t="s">
        <v>469</v>
      </c>
      <c r="B439" s="1">
        <v>45599.331406550926</v>
      </c>
      <c r="C439">
        <v>6</v>
      </c>
      <c r="D439" t="s">
        <v>10</v>
      </c>
      <c r="E439" t="s">
        <v>11</v>
      </c>
      <c r="F439" t="s">
        <v>50</v>
      </c>
      <c r="G439" t="s">
        <v>40</v>
      </c>
      <c r="H439">
        <v>1812</v>
      </c>
      <c r="I439" t="s">
        <v>14</v>
      </c>
      <c r="J439" t="str">
        <f t="shared" si="18"/>
        <v>Child</v>
      </c>
      <c r="K439" t="str">
        <f t="shared" si="19"/>
        <v>November</v>
      </c>
      <c r="L439">
        <f t="shared" si="20"/>
        <v>2024</v>
      </c>
    </row>
    <row r="440" spans="1:12" x14ac:dyDescent="0.25">
      <c r="A440" t="s">
        <v>470</v>
      </c>
      <c r="B440" s="1">
        <v>45600.03468207176</v>
      </c>
      <c r="C440">
        <v>82</v>
      </c>
      <c r="D440" t="s">
        <v>10</v>
      </c>
      <c r="E440" t="s">
        <v>36</v>
      </c>
      <c r="F440" t="s">
        <v>50</v>
      </c>
      <c r="G440" t="s">
        <v>13</v>
      </c>
      <c r="H440">
        <v>1586</v>
      </c>
      <c r="I440" t="s">
        <v>14</v>
      </c>
      <c r="J440" t="str">
        <f t="shared" si="18"/>
        <v>Senior</v>
      </c>
      <c r="K440" t="str">
        <f t="shared" si="19"/>
        <v>November</v>
      </c>
      <c r="L440">
        <f t="shared" si="20"/>
        <v>2024</v>
      </c>
    </row>
    <row r="441" spans="1:12" x14ac:dyDescent="0.25">
      <c r="A441" t="s">
        <v>471</v>
      </c>
      <c r="B441" s="1">
        <v>45600.737957604164</v>
      </c>
      <c r="C441">
        <v>6</v>
      </c>
      <c r="D441" t="s">
        <v>16</v>
      </c>
      <c r="E441" t="s">
        <v>52</v>
      </c>
      <c r="F441" t="s">
        <v>23</v>
      </c>
      <c r="G441" t="s">
        <v>26</v>
      </c>
      <c r="H441">
        <v>679</v>
      </c>
      <c r="I441" t="s">
        <v>14</v>
      </c>
      <c r="J441" t="str">
        <f t="shared" si="18"/>
        <v>Child</v>
      </c>
      <c r="K441" t="str">
        <f t="shared" si="19"/>
        <v>November</v>
      </c>
      <c r="L441">
        <f t="shared" si="20"/>
        <v>2024</v>
      </c>
    </row>
    <row r="442" spans="1:12" x14ac:dyDescent="0.25">
      <c r="A442" t="s">
        <v>472</v>
      </c>
      <c r="B442" s="1">
        <v>45601.441233136575</v>
      </c>
      <c r="C442">
        <v>43</v>
      </c>
      <c r="D442" t="s">
        <v>16</v>
      </c>
      <c r="E442" t="s">
        <v>11</v>
      </c>
      <c r="F442" t="s">
        <v>18</v>
      </c>
      <c r="G442" t="s">
        <v>40</v>
      </c>
      <c r="H442">
        <v>2969</v>
      </c>
      <c r="I442" t="s">
        <v>14</v>
      </c>
      <c r="J442" t="str">
        <f t="shared" si="18"/>
        <v>Middle Age</v>
      </c>
      <c r="K442" t="str">
        <f t="shared" si="19"/>
        <v>November</v>
      </c>
      <c r="L442">
        <f t="shared" si="20"/>
        <v>2024</v>
      </c>
    </row>
    <row r="443" spans="1:12" x14ac:dyDescent="0.25">
      <c r="A443" t="s">
        <v>473</v>
      </c>
      <c r="B443" s="1">
        <v>45602.144508668978</v>
      </c>
      <c r="C443">
        <v>87</v>
      </c>
      <c r="D443" t="s">
        <v>10</v>
      </c>
      <c r="E443" t="s">
        <v>28</v>
      </c>
      <c r="F443" t="s">
        <v>18</v>
      </c>
      <c r="G443" t="s">
        <v>40</v>
      </c>
      <c r="H443">
        <v>429</v>
      </c>
      <c r="I443" t="s">
        <v>20</v>
      </c>
      <c r="J443" t="str">
        <f t="shared" si="18"/>
        <v>Senior</v>
      </c>
      <c r="K443" t="str">
        <f t="shared" si="19"/>
        <v>November</v>
      </c>
      <c r="L443">
        <f t="shared" si="20"/>
        <v>2024</v>
      </c>
    </row>
    <row r="444" spans="1:12" x14ac:dyDescent="0.25">
      <c r="A444" t="s">
        <v>474</v>
      </c>
      <c r="B444" s="1">
        <v>45602.847784189813</v>
      </c>
      <c r="C444">
        <v>53</v>
      </c>
      <c r="D444" t="s">
        <v>16</v>
      </c>
      <c r="E444" t="s">
        <v>11</v>
      </c>
      <c r="F444" t="s">
        <v>12</v>
      </c>
      <c r="G444" t="s">
        <v>40</v>
      </c>
      <c r="H444">
        <v>2264</v>
      </c>
      <c r="I444" t="s">
        <v>20</v>
      </c>
      <c r="J444" t="str">
        <f t="shared" si="18"/>
        <v>Middle Age</v>
      </c>
      <c r="K444" t="str">
        <f t="shared" si="19"/>
        <v>November</v>
      </c>
      <c r="L444">
        <f t="shared" si="20"/>
        <v>2024</v>
      </c>
    </row>
    <row r="445" spans="1:12" x14ac:dyDescent="0.25">
      <c r="A445" t="s">
        <v>475</v>
      </c>
      <c r="B445" s="1">
        <v>45603.551059722224</v>
      </c>
      <c r="C445">
        <v>58</v>
      </c>
      <c r="D445" t="s">
        <v>16</v>
      </c>
      <c r="E445" t="s">
        <v>22</v>
      </c>
      <c r="F445" t="s">
        <v>18</v>
      </c>
      <c r="G445" t="s">
        <v>40</v>
      </c>
      <c r="H445">
        <v>196</v>
      </c>
      <c r="I445" t="s">
        <v>20</v>
      </c>
      <c r="J445" t="str">
        <f t="shared" si="18"/>
        <v>Middle Age</v>
      </c>
      <c r="K445" t="str">
        <f t="shared" si="19"/>
        <v>November</v>
      </c>
      <c r="L445">
        <f t="shared" si="20"/>
        <v>2024</v>
      </c>
    </row>
    <row r="446" spans="1:12" x14ac:dyDescent="0.25">
      <c r="A446" t="s">
        <v>476</v>
      </c>
      <c r="B446" s="1">
        <v>45604.254335254627</v>
      </c>
      <c r="C446">
        <v>57</v>
      </c>
      <c r="D446" t="s">
        <v>16</v>
      </c>
      <c r="E446" t="s">
        <v>30</v>
      </c>
      <c r="F446" t="s">
        <v>23</v>
      </c>
      <c r="G446" t="s">
        <v>19</v>
      </c>
      <c r="H446">
        <v>559</v>
      </c>
      <c r="I446" t="s">
        <v>14</v>
      </c>
      <c r="J446" t="str">
        <f t="shared" si="18"/>
        <v>Middle Age</v>
      </c>
      <c r="K446" t="str">
        <f t="shared" si="19"/>
        <v>November</v>
      </c>
      <c r="L446">
        <f t="shared" si="20"/>
        <v>2024</v>
      </c>
    </row>
    <row r="447" spans="1:12" x14ac:dyDescent="0.25">
      <c r="A447" t="s">
        <v>477</v>
      </c>
      <c r="B447" s="1">
        <v>45604.957610787038</v>
      </c>
      <c r="C447">
        <v>79</v>
      </c>
      <c r="D447" t="s">
        <v>16</v>
      </c>
      <c r="E447" t="s">
        <v>30</v>
      </c>
      <c r="F447" t="s">
        <v>34</v>
      </c>
      <c r="G447" t="s">
        <v>26</v>
      </c>
      <c r="H447">
        <v>2609</v>
      </c>
      <c r="I447" t="s">
        <v>20</v>
      </c>
      <c r="J447" t="str">
        <f t="shared" si="18"/>
        <v>Senior</v>
      </c>
      <c r="K447" t="str">
        <f t="shared" si="19"/>
        <v>November</v>
      </c>
      <c r="L447">
        <f t="shared" si="20"/>
        <v>2024</v>
      </c>
    </row>
    <row r="448" spans="1:12" x14ac:dyDescent="0.25">
      <c r="A448" t="s">
        <v>478</v>
      </c>
      <c r="B448" s="1">
        <v>45605.660886319441</v>
      </c>
      <c r="C448">
        <v>88</v>
      </c>
      <c r="D448" t="s">
        <v>10</v>
      </c>
      <c r="E448" t="s">
        <v>36</v>
      </c>
      <c r="F448" t="s">
        <v>50</v>
      </c>
      <c r="G448" t="s">
        <v>40</v>
      </c>
      <c r="H448">
        <v>2583</v>
      </c>
      <c r="I448" t="s">
        <v>14</v>
      </c>
      <c r="J448" t="str">
        <f t="shared" si="18"/>
        <v>Senior</v>
      </c>
      <c r="K448" t="str">
        <f t="shared" si="19"/>
        <v>November</v>
      </c>
      <c r="L448">
        <f t="shared" si="20"/>
        <v>2024</v>
      </c>
    </row>
    <row r="449" spans="1:12" x14ac:dyDescent="0.25">
      <c r="A449" t="s">
        <v>479</v>
      </c>
      <c r="B449" s="1">
        <v>45606.364161840276</v>
      </c>
      <c r="C449">
        <v>82</v>
      </c>
      <c r="D449" t="s">
        <v>10</v>
      </c>
      <c r="E449" t="s">
        <v>11</v>
      </c>
      <c r="F449" t="s">
        <v>50</v>
      </c>
      <c r="G449" t="s">
        <v>26</v>
      </c>
      <c r="H449">
        <v>515</v>
      </c>
      <c r="I449" t="s">
        <v>20</v>
      </c>
      <c r="J449" t="str">
        <f t="shared" si="18"/>
        <v>Senior</v>
      </c>
      <c r="K449" t="str">
        <f t="shared" si="19"/>
        <v>November</v>
      </c>
      <c r="L449">
        <f t="shared" si="20"/>
        <v>2024</v>
      </c>
    </row>
    <row r="450" spans="1:12" x14ac:dyDescent="0.25">
      <c r="A450" t="s">
        <v>480</v>
      </c>
      <c r="B450" s="1">
        <v>45607.067437372687</v>
      </c>
      <c r="C450">
        <v>11</v>
      </c>
      <c r="D450" t="s">
        <v>10</v>
      </c>
      <c r="E450" t="s">
        <v>28</v>
      </c>
      <c r="F450" t="s">
        <v>31</v>
      </c>
      <c r="G450" t="s">
        <v>40</v>
      </c>
      <c r="H450">
        <v>1366</v>
      </c>
      <c r="I450" t="s">
        <v>14</v>
      </c>
      <c r="J450" t="str">
        <f t="shared" si="18"/>
        <v>Child</v>
      </c>
      <c r="K450" t="str">
        <f t="shared" si="19"/>
        <v>November</v>
      </c>
      <c r="L450">
        <f t="shared" si="20"/>
        <v>2024</v>
      </c>
    </row>
    <row r="451" spans="1:12" x14ac:dyDescent="0.25">
      <c r="A451" t="s">
        <v>481</v>
      </c>
      <c r="B451" s="1">
        <v>45607.77071290509</v>
      </c>
      <c r="C451">
        <v>73</v>
      </c>
      <c r="D451" t="s">
        <v>16</v>
      </c>
      <c r="E451" t="s">
        <v>11</v>
      </c>
      <c r="F451" t="s">
        <v>23</v>
      </c>
      <c r="G451" t="s">
        <v>19</v>
      </c>
      <c r="H451">
        <v>866</v>
      </c>
      <c r="I451" t="s">
        <v>20</v>
      </c>
      <c r="J451" t="str">
        <f t="shared" ref="J451:J514" si="21">IF(C451&lt;18,"Child",IF(C451&lt;=40,"Adult",IF(C451&lt;=60,"Middle Age","Senior")))</f>
        <v>Senior</v>
      </c>
      <c r="K451" t="str">
        <f t="shared" ref="K451:K514" si="22">TEXT(B451,"mmmm")</f>
        <v>November</v>
      </c>
      <c r="L451">
        <f t="shared" ref="L451:L514" si="23">YEAR(B451)</f>
        <v>2024</v>
      </c>
    </row>
    <row r="452" spans="1:12" x14ac:dyDescent="0.25">
      <c r="A452" t="s">
        <v>482</v>
      </c>
      <c r="B452" s="1">
        <v>45608.473988437501</v>
      </c>
      <c r="C452">
        <v>49</v>
      </c>
      <c r="D452" t="s">
        <v>16</v>
      </c>
      <c r="E452" t="s">
        <v>11</v>
      </c>
      <c r="F452" t="s">
        <v>18</v>
      </c>
      <c r="G452" t="s">
        <v>26</v>
      </c>
      <c r="H452">
        <v>1461</v>
      </c>
      <c r="I452" t="s">
        <v>14</v>
      </c>
      <c r="J452" t="str">
        <f t="shared" si="21"/>
        <v>Middle Age</v>
      </c>
      <c r="K452" t="str">
        <f t="shared" si="22"/>
        <v>November</v>
      </c>
      <c r="L452">
        <f t="shared" si="23"/>
        <v>2024</v>
      </c>
    </row>
    <row r="453" spans="1:12" x14ac:dyDescent="0.25">
      <c r="A453" t="s">
        <v>483</v>
      </c>
      <c r="B453" s="1">
        <v>45609.177263958336</v>
      </c>
      <c r="C453">
        <v>20</v>
      </c>
      <c r="D453" t="s">
        <v>10</v>
      </c>
      <c r="E453" t="s">
        <v>30</v>
      </c>
      <c r="F453" t="s">
        <v>25</v>
      </c>
      <c r="G453" t="s">
        <v>26</v>
      </c>
      <c r="H453">
        <v>167</v>
      </c>
      <c r="I453" t="s">
        <v>14</v>
      </c>
      <c r="J453" t="str">
        <f t="shared" si="21"/>
        <v>Adult</v>
      </c>
      <c r="K453" t="str">
        <f t="shared" si="22"/>
        <v>November</v>
      </c>
      <c r="L453">
        <f t="shared" si="23"/>
        <v>2024</v>
      </c>
    </row>
    <row r="454" spans="1:12" x14ac:dyDescent="0.25">
      <c r="A454" t="s">
        <v>484</v>
      </c>
      <c r="B454" s="1">
        <v>45609.880539490739</v>
      </c>
      <c r="C454">
        <v>13</v>
      </c>
      <c r="D454" t="s">
        <v>16</v>
      </c>
      <c r="E454" t="s">
        <v>17</v>
      </c>
      <c r="F454" t="s">
        <v>25</v>
      </c>
      <c r="G454" t="s">
        <v>13</v>
      </c>
      <c r="H454">
        <v>549</v>
      </c>
      <c r="I454" t="s">
        <v>14</v>
      </c>
      <c r="J454" t="str">
        <f t="shared" si="21"/>
        <v>Child</v>
      </c>
      <c r="K454" t="str">
        <f t="shared" si="22"/>
        <v>November</v>
      </c>
      <c r="L454">
        <f t="shared" si="23"/>
        <v>2024</v>
      </c>
    </row>
    <row r="455" spans="1:12" x14ac:dyDescent="0.25">
      <c r="A455" t="s">
        <v>485</v>
      </c>
      <c r="B455" s="1">
        <v>45610.58381502315</v>
      </c>
      <c r="C455">
        <v>26</v>
      </c>
      <c r="D455" t="s">
        <v>16</v>
      </c>
      <c r="E455" t="s">
        <v>22</v>
      </c>
      <c r="F455" t="s">
        <v>18</v>
      </c>
      <c r="G455" t="s">
        <v>40</v>
      </c>
      <c r="H455">
        <v>2530</v>
      </c>
      <c r="I455" t="s">
        <v>14</v>
      </c>
      <c r="J455" t="str">
        <f t="shared" si="21"/>
        <v>Adult</v>
      </c>
      <c r="K455" t="str">
        <f t="shared" si="22"/>
        <v>November</v>
      </c>
      <c r="L455">
        <f t="shared" si="23"/>
        <v>2024</v>
      </c>
    </row>
    <row r="456" spans="1:12" x14ac:dyDescent="0.25">
      <c r="A456" t="s">
        <v>486</v>
      </c>
      <c r="B456" s="1">
        <v>45611.287090555554</v>
      </c>
      <c r="C456">
        <v>78</v>
      </c>
      <c r="D456" t="s">
        <v>16</v>
      </c>
      <c r="E456" t="s">
        <v>33</v>
      </c>
      <c r="F456" t="s">
        <v>50</v>
      </c>
      <c r="G456" t="s">
        <v>19</v>
      </c>
      <c r="H456">
        <v>2741</v>
      </c>
      <c r="I456" t="s">
        <v>20</v>
      </c>
      <c r="J456" t="str">
        <f t="shared" si="21"/>
        <v>Senior</v>
      </c>
      <c r="K456" t="str">
        <f t="shared" si="22"/>
        <v>November</v>
      </c>
      <c r="L456">
        <f t="shared" si="23"/>
        <v>2024</v>
      </c>
    </row>
    <row r="457" spans="1:12" x14ac:dyDescent="0.25">
      <c r="A457" t="s">
        <v>487</v>
      </c>
      <c r="B457" s="1">
        <v>45611.990366087965</v>
      </c>
      <c r="C457">
        <v>17</v>
      </c>
      <c r="D457" t="s">
        <v>16</v>
      </c>
      <c r="E457" t="s">
        <v>36</v>
      </c>
      <c r="F457" t="s">
        <v>18</v>
      </c>
      <c r="G457" t="s">
        <v>26</v>
      </c>
      <c r="H457">
        <v>2442</v>
      </c>
      <c r="I457" t="s">
        <v>20</v>
      </c>
      <c r="J457" t="str">
        <f t="shared" si="21"/>
        <v>Child</v>
      </c>
      <c r="K457" t="str">
        <f t="shared" si="22"/>
        <v>November</v>
      </c>
      <c r="L457">
        <f t="shared" si="23"/>
        <v>2024</v>
      </c>
    </row>
    <row r="458" spans="1:12" x14ac:dyDescent="0.25">
      <c r="A458" t="s">
        <v>488</v>
      </c>
      <c r="B458" s="1">
        <v>45612.693641608799</v>
      </c>
      <c r="C458">
        <v>5</v>
      </c>
      <c r="D458" t="s">
        <v>16</v>
      </c>
      <c r="E458" t="s">
        <v>30</v>
      </c>
      <c r="F458" t="s">
        <v>12</v>
      </c>
      <c r="G458" t="s">
        <v>26</v>
      </c>
      <c r="H458">
        <v>875</v>
      </c>
      <c r="I458" t="s">
        <v>14</v>
      </c>
      <c r="J458" t="str">
        <f t="shared" si="21"/>
        <v>Child</v>
      </c>
      <c r="K458" t="str">
        <f t="shared" si="22"/>
        <v>November</v>
      </c>
      <c r="L458">
        <f t="shared" si="23"/>
        <v>2024</v>
      </c>
    </row>
    <row r="459" spans="1:12" x14ac:dyDescent="0.25">
      <c r="A459" t="s">
        <v>489</v>
      </c>
      <c r="B459" s="1">
        <v>45613.396917141203</v>
      </c>
      <c r="C459">
        <v>89</v>
      </c>
      <c r="D459" t="s">
        <v>16</v>
      </c>
      <c r="E459" t="s">
        <v>52</v>
      </c>
      <c r="F459" t="s">
        <v>34</v>
      </c>
      <c r="G459" t="s">
        <v>40</v>
      </c>
      <c r="H459">
        <v>1858</v>
      </c>
      <c r="I459" t="s">
        <v>20</v>
      </c>
      <c r="J459" t="str">
        <f t="shared" si="21"/>
        <v>Senior</v>
      </c>
      <c r="K459" t="str">
        <f t="shared" si="22"/>
        <v>November</v>
      </c>
      <c r="L459">
        <f t="shared" si="23"/>
        <v>2024</v>
      </c>
    </row>
    <row r="460" spans="1:12" x14ac:dyDescent="0.25">
      <c r="A460" t="s">
        <v>490</v>
      </c>
      <c r="B460" s="1">
        <v>45614.100192673613</v>
      </c>
      <c r="C460">
        <v>28</v>
      </c>
      <c r="D460" t="s">
        <v>16</v>
      </c>
      <c r="E460" t="s">
        <v>22</v>
      </c>
      <c r="F460" t="s">
        <v>31</v>
      </c>
      <c r="G460" t="s">
        <v>19</v>
      </c>
      <c r="H460">
        <v>881</v>
      </c>
      <c r="I460" t="s">
        <v>20</v>
      </c>
      <c r="J460" t="str">
        <f t="shared" si="21"/>
        <v>Adult</v>
      </c>
      <c r="K460" t="str">
        <f t="shared" si="22"/>
        <v>November</v>
      </c>
      <c r="L460">
        <f t="shared" si="23"/>
        <v>2024</v>
      </c>
    </row>
    <row r="461" spans="1:12" x14ac:dyDescent="0.25">
      <c r="A461" t="s">
        <v>491</v>
      </c>
      <c r="B461" s="1">
        <v>45614.803468206017</v>
      </c>
      <c r="C461">
        <v>51</v>
      </c>
      <c r="D461" t="s">
        <v>16</v>
      </c>
      <c r="E461" t="s">
        <v>22</v>
      </c>
      <c r="F461" t="s">
        <v>18</v>
      </c>
      <c r="G461" t="s">
        <v>40</v>
      </c>
      <c r="H461">
        <v>2184</v>
      </c>
      <c r="I461" t="s">
        <v>20</v>
      </c>
      <c r="J461" t="str">
        <f t="shared" si="21"/>
        <v>Middle Age</v>
      </c>
      <c r="K461" t="str">
        <f t="shared" si="22"/>
        <v>November</v>
      </c>
      <c r="L461">
        <f t="shared" si="23"/>
        <v>2024</v>
      </c>
    </row>
    <row r="462" spans="1:12" x14ac:dyDescent="0.25">
      <c r="A462" t="s">
        <v>492</v>
      </c>
      <c r="B462" s="1">
        <v>45615.506743726852</v>
      </c>
      <c r="C462">
        <v>69</v>
      </c>
      <c r="D462" t="s">
        <v>16</v>
      </c>
      <c r="E462" t="s">
        <v>17</v>
      </c>
      <c r="F462" t="s">
        <v>23</v>
      </c>
      <c r="G462" t="s">
        <v>26</v>
      </c>
      <c r="H462">
        <v>2210</v>
      </c>
      <c r="I462" t="s">
        <v>14</v>
      </c>
      <c r="J462" t="str">
        <f t="shared" si="21"/>
        <v>Senior</v>
      </c>
      <c r="K462" t="str">
        <f t="shared" si="22"/>
        <v>November</v>
      </c>
      <c r="L462">
        <f t="shared" si="23"/>
        <v>2024</v>
      </c>
    </row>
    <row r="463" spans="1:12" x14ac:dyDescent="0.25">
      <c r="A463" t="s">
        <v>493</v>
      </c>
      <c r="B463" s="1">
        <v>45616.210019259262</v>
      </c>
      <c r="C463">
        <v>4</v>
      </c>
      <c r="D463" t="s">
        <v>10</v>
      </c>
      <c r="E463" t="s">
        <v>52</v>
      </c>
      <c r="F463" t="s">
        <v>18</v>
      </c>
      <c r="G463" t="s">
        <v>13</v>
      </c>
      <c r="H463">
        <v>1619</v>
      </c>
      <c r="I463" t="s">
        <v>20</v>
      </c>
      <c r="J463" t="str">
        <f t="shared" si="21"/>
        <v>Child</v>
      </c>
      <c r="K463" t="str">
        <f t="shared" si="22"/>
        <v>November</v>
      </c>
      <c r="L463">
        <f t="shared" si="23"/>
        <v>2024</v>
      </c>
    </row>
    <row r="464" spans="1:12" x14ac:dyDescent="0.25">
      <c r="A464" t="s">
        <v>494</v>
      </c>
      <c r="B464" s="1">
        <v>45616.913294791666</v>
      </c>
      <c r="C464">
        <v>59</v>
      </c>
      <c r="D464" t="s">
        <v>10</v>
      </c>
      <c r="E464" t="s">
        <v>30</v>
      </c>
      <c r="F464" t="s">
        <v>31</v>
      </c>
      <c r="G464" t="s">
        <v>19</v>
      </c>
      <c r="H464">
        <v>1424</v>
      </c>
      <c r="I464" t="s">
        <v>20</v>
      </c>
      <c r="J464" t="str">
        <f t="shared" si="21"/>
        <v>Middle Age</v>
      </c>
      <c r="K464" t="str">
        <f t="shared" si="22"/>
        <v>November</v>
      </c>
      <c r="L464">
        <f t="shared" si="23"/>
        <v>2024</v>
      </c>
    </row>
    <row r="465" spans="1:12" x14ac:dyDescent="0.25">
      <c r="A465" t="s">
        <v>495</v>
      </c>
      <c r="B465" s="1">
        <v>45617.616570324077</v>
      </c>
      <c r="C465">
        <v>13</v>
      </c>
      <c r="D465" t="s">
        <v>16</v>
      </c>
      <c r="E465" t="s">
        <v>11</v>
      </c>
      <c r="F465" t="s">
        <v>31</v>
      </c>
      <c r="G465" t="s">
        <v>13</v>
      </c>
      <c r="H465">
        <v>1361</v>
      </c>
      <c r="I465" t="s">
        <v>14</v>
      </c>
      <c r="J465" t="str">
        <f t="shared" si="21"/>
        <v>Child</v>
      </c>
      <c r="K465" t="str">
        <f t="shared" si="22"/>
        <v>November</v>
      </c>
      <c r="L465">
        <f t="shared" si="23"/>
        <v>2024</v>
      </c>
    </row>
    <row r="466" spans="1:12" x14ac:dyDescent="0.25">
      <c r="A466" t="s">
        <v>496</v>
      </c>
      <c r="B466" s="1">
        <v>45618.31984585648</v>
      </c>
      <c r="C466">
        <v>3</v>
      </c>
      <c r="D466" t="s">
        <v>16</v>
      </c>
      <c r="E466" t="s">
        <v>22</v>
      </c>
      <c r="F466" t="s">
        <v>25</v>
      </c>
      <c r="G466" t="s">
        <v>19</v>
      </c>
      <c r="H466">
        <v>1240</v>
      </c>
      <c r="I466" t="s">
        <v>14</v>
      </c>
      <c r="J466" t="str">
        <f t="shared" si="21"/>
        <v>Child</v>
      </c>
      <c r="K466" t="str">
        <f t="shared" si="22"/>
        <v>November</v>
      </c>
      <c r="L466">
        <f t="shared" si="23"/>
        <v>2024</v>
      </c>
    </row>
    <row r="467" spans="1:12" x14ac:dyDescent="0.25">
      <c r="A467" t="s">
        <v>497</v>
      </c>
      <c r="B467" s="1">
        <v>45619.023121377315</v>
      </c>
      <c r="C467">
        <v>77</v>
      </c>
      <c r="D467" t="s">
        <v>10</v>
      </c>
      <c r="E467" t="s">
        <v>36</v>
      </c>
      <c r="F467" t="s">
        <v>23</v>
      </c>
      <c r="G467" t="s">
        <v>13</v>
      </c>
      <c r="H467">
        <v>1657</v>
      </c>
      <c r="I467" t="s">
        <v>20</v>
      </c>
      <c r="J467" t="str">
        <f t="shared" si="21"/>
        <v>Senior</v>
      </c>
      <c r="K467" t="str">
        <f t="shared" si="22"/>
        <v>November</v>
      </c>
      <c r="L467">
        <f t="shared" si="23"/>
        <v>2024</v>
      </c>
    </row>
    <row r="468" spans="1:12" x14ac:dyDescent="0.25">
      <c r="A468" t="s">
        <v>498</v>
      </c>
      <c r="B468" s="1">
        <v>45619.726396909726</v>
      </c>
      <c r="C468">
        <v>62</v>
      </c>
      <c r="D468" t="s">
        <v>10</v>
      </c>
      <c r="E468" t="s">
        <v>52</v>
      </c>
      <c r="F468" t="s">
        <v>31</v>
      </c>
      <c r="G468" t="s">
        <v>19</v>
      </c>
      <c r="H468">
        <v>2199</v>
      </c>
      <c r="I468" t="s">
        <v>14</v>
      </c>
      <c r="J468" t="str">
        <f t="shared" si="21"/>
        <v>Senior</v>
      </c>
      <c r="K468" t="str">
        <f t="shared" si="22"/>
        <v>November</v>
      </c>
      <c r="L468">
        <f t="shared" si="23"/>
        <v>2024</v>
      </c>
    </row>
    <row r="469" spans="1:12" x14ac:dyDescent="0.25">
      <c r="A469" t="s">
        <v>499</v>
      </c>
      <c r="B469" s="1">
        <v>45620.429672442129</v>
      </c>
      <c r="C469">
        <v>16</v>
      </c>
      <c r="D469" t="s">
        <v>16</v>
      </c>
      <c r="E469" t="s">
        <v>30</v>
      </c>
      <c r="F469" t="s">
        <v>31</v>
      </c>
      <c r="G469" t="s">
        <v>13</v>
      </c>
      <c r="H469">
        <v>1639</v>
      </c>
      <c r="I469" t="s">
        <v>14</v>
      </c>
      <c r="J469" t="str">
        <f t="shared" si="21"/>
        <v>Child</v>
      </c>
      <c r="K469" t="str">
        <f t="shared" si="22"/>
        <v>November</v>
      </c>
      <c r="L469">
        <f t="shared" si="23"/>
        <v>2024</v>
      </c>
    </row>
    <row r="470" spans="1:12" x14ac:dyDescent="0.25">
      <c r="A470" t="s">
        <v>500</v>
      </c>
      <c r="B470" s="1">
        <v>45621.13294797454</v>
      </c>
      <c r="C470">
        <v>75</v>
      </c>
      <c r="D470" t="s">
        <v>10</v>
      </c>
      <c r="E470" t="s">
        <v>30</v>
      </c>
      <c r="F470" t="s">
        <v>18</v>
      </c>
      <c r="G470" t="s">
        <v>13</v>
      </c>
      <c r="H470">
        <v>2878</v>
      </c>
      <c r="I470" t="s">
        <v>20</v>
      </c>
      <c r="J470" t="str">
        <f t="shared" si="21"/>
        <v>Senior</v>
      </c>
      <c r="K470" t="str">
        <f t="shared" si="22"/>
        <v>November</v>
      </c>
      <c r="L470">
        <f t="shared" si="23"/>
        <v>2024</v>
      </c>
    </row>
    <row r="471" spans="1:12" x14ac:dyDescent="0.25">
      <c r="A471" t="s">
        <v>501</v>
      </c>
      <c r="B471" s="1">
        <v>45621.836223495367</v>
      </c>
      <c r="C471">
        <v>13</v>
      </c>
      <c r="D471" t="s">
        <v>10</v>
      </c>
      <c r="E471" t="s">
        <v>28</v>
      </c>
      <c r="F471" t="s">
        <v>31</v>
      </c>
      <c r="G471" t="s">
        <v>40</v>
      </c>
      <c r="H471">
        <v>1686</v>
      </c>
      <c r="I471" t="s">
        <v>20</v>
      </c>
      <c r="J471" t="str">
        <f t="shared" si="21"/>
        <v>Child</v>
      </c>
      <c r="K471" t="str">
        <f t="shared" si="22"/>
        <v>November</v>
      </c>
      <c r="L471">
        <f t="shared" si="23"/>
        <v>2024</v>
      </c>
    </row>
    <row r="472" spans="1:12" x14ac:dyDescent="0.25">
      <c r="A472" t="s">
        <v>502</v>
      </c>
      <c r="B472" s="1">
        <v>45622.539499027778</v>
      </c>
      <c r="C472">
        <v>19</v>
      </c>
      <c r="D472" t="s">
        <v>16</v>
      </c>
      <c r="E472" t="s">
        <v>36</v>
      </c>
      <c r="F472" t="s">
        <v>23</v>
      </c>
      <c r="G472" t="s">
        <v>26</v>
      </c>
      <c r="H472">
        <v>1754</v>
      </c>
      <c r="I472" t="s">
        <v>20</v>
      </c>
      <c r="J472" t="str">
        <f t="shared" si="21"/>
        <v>Adult</v>
      </c>
      <c r="K472" t="str">
        <f t="shared" si="22"/>
        <v>November</v>
      </c>
      <c r="L472">
        <f t="shared" si="23"/>
        <v>2024</v>
      </c>
    </row>
    <row r="473" spans="1:12" x14ac:dyDescent="0.25">
      <c r="A473" t="s">
        <v>503</v>
      </c>
      <c r="B473" s="1">
        <v>45623.242774560182</v>
      </c>
      <c r="C473">
        <v>31</v>
      </c>
      <c r="D473" t="s">
        <v>16</v>
      </c>
      <c r="E473" t="s">
        <v>33</v>
      </c>
      <c r="F473" t="s">
        <v>34</v>
      </c>
      <c r="G473" t="s">
        <v>26</v>
      </c>
      <c r="H473">
        <v>2992</v>
      </c>
      <c r="I473" t="s">
        <v>14</v>
      </c>
      <c r="J473" t="str">
        <f t="shared" si="21"/>
        <v>Adult</v>
      </c>
      <c r="K473" t="str">
        <f t="shared" si="22"/>
        <v>November</v>
      </c>
      <c r="L473">
        <f t="shared" si="23"/>
        <v>2024</v>
      </c>
    </row>
    <row r="474" spans="1:12" x14ac:dyDescent="0.25">
      <c r="A474" t="s">
        <v>504</v>
      </c>
      <c r="B474" s="1">
        <v>45623.946050092592</v>
      </c>
      <c r="C474">
        <v>60</v>
      </c>
      <c r="D474" t="s">
        <v>16</v>
      </c>
      <c r="E474" t="s">
        <v>30</v>
      </c>
      <c r="F474" t="s">
        <v>25</v>
      </c>
      <c r="G474" t="s">
        <v>40</v>
      </c>
      <c r="H474">
        <v>2371</v>
      </c>
      <c r="I474" t="s">
        <v>14</v>
      </c>
      <c r="J474" t="str">
        <f t="shared" si="21"/>
        <v>Middle Age</v>
      </c>
      <c r="K474" t="str">
        <f t="shared" si="22"/>
        <v>November</v>
      </c>
      <c r="L474">
        <f t="shared" si="23"/>
        <v>2024</v>
      </c>
    </row>
    <row r="475" spans="1:12" x14ac:dyDescent="0.25">
      <c r="A475" t="s">
        <v>505</v>
      </c>
      <c r="B475" s="1">
        <v>45624.649325625003</v>
      </c>
      <c r="C475">
        <v>6</v>
      </c>
      <c r="D475" t="s">
        <v>10</v>
      </c>
      <c r="E475" t="s">
        <v>52</v>
      </c>
      <c r="F475" t="s">
        <v>12</v>
      </c>
      <c r="G475" t="s">
        <v>19</v>
      </c>
      <c r="H475">
        <v>2319</v>
      </c>
      <c r="I475" t="s">
        <v>14</v>
      </c>
      <c r="J475" t="str">
        <f t="shared" si="21"/>
        <v>Child</v>
      </c>
      <c r="K475" t="str">
        <f t="shared" si="22"/>
        <v>November</v>
      </c>
      <c r="L475">
        <f t="shared" si="23"/>
        <v>2024</v>
      </c>
    </row>
    <row r="476" spans="1:12" x14ac:dyDescent="0.25">
      <c r="A476" t="s">
        <v>506</v>
      </c>
      <c r="B476" s="1">
        <v>45625.352601145831</v>
      </c>
      <c r="C476">
        <v>17</v>
      </c>
      <c r="D476" t="s">
        <v>10</v>
      </c>
      <c r="E476" t="s">
        <v>22</v>
      </c>
      <c r="F476" t="s">
        <v>34</v>
      </c>
      <c r="G476" t="s">
        <v>40</v>
      </c>
      <c r="H476">
        <v>2304</v>
      </c>
      <c r="I476" t="s">
        <v>20</v>
      </c>
      <c r="J476" t="str">
        <f t="shared" si="21"/>
        <v>Child</v>
      </c>
      <c r="K476" t="str">
        <f t="shared" si="22"/>
        <v>November</v>
      </c>
      <c r="L476">
        <f t="shared" si="23"/>
        <v>2024</v>
      </c>
    </row>
    <row r="477" spans="1:12" x14ac:dyDescent="0.25">
      <c r="A477" t="s">
        <v>507</v>
      </c>
      <c r="B477" s="1">
        <v>45626.055876678241</v>
      </c>
      <c r="C477">
        <v>61</v>
      </c>
      <c r="D477" t="s">
        <v>10</v>
      </c>
      <c r="E477" t="s">
        <v>33</v>
      </c>
      <c r="F477" t="s">
        <v>25</v>
      </c>
      <c r="G477" t="s">
        <v>26</v>
      </c>
      <c r="H477">
        <v>876</v>
      </c>
      <c r="I477" t="s">
        <v>20</v>
      </c>
      <c r="J477" t="str">
        <f t="shared" si="21"/>
        <v>Senior</v>
      </c>
      <c r="K477" t="str">
        <f t="shared" si="22"/>
        <v>November</v>
      </c>
      <c r="L477">
        <f t="shared" si="23"/>
        <v>2024</v>
      </c>
    </row>
    <row r="478" spans="1:12" x14ac:dyDescent="0.25">
      <c r="A478" t="s">
        <v>508</v>
      </c>
      <c r="B478" s="1">
        <v>45626.759152210645</v>
      </c>
      <c r="C478">
        <v>44</v>
      </c>
      <c r="D478" t="s">
        <v>10</v>
      </c>
      <c r="E478" t="s">
        <v>28</v>
      </c>
      <c r="F478" t="s">
        <v>23</v>
      </c>
      <c r="G478" t="s">
        <v>40</v>
      </c>
      <c r="H478">
        <v>277</v>
      </c>
      <c r="I478" t="s">
        <v>20</v>
      </c>
      <c r="J478" t="str">
        <f t="shared" si="21"/>
        <v>Middle Age</v>
      </c>
      <c r="K478" t="str">
        <f t="shared" si="22"/>
        <v>November</v>
      </c>
      <c r="L478">
        <f t="shared" si="23"/>
        <v>2024</v>
      </c>
    </row>
    <row r="479" spans="1:12" x14ac:dyDescent="0.25">
      <c r="A479" t="s">
        <v>509</v>
      </c>
      <c r="B479" s="1">
        <v>45627.462427743056</v>
      </c>
      <c r="C479">
        <v>32</v>
      </c>
      <c r="D479" t="s">
        <v>16</v>
      </c>
      <c r="E479" t="s">
        <v>17</v>
      </c>
      <c r="F479" t="s">
        <v>18</v>
      </c>
      <c r="G479" t="s">
        <v>40</v>
      </c>
      <c r="H479">
        <v>1233</v>
      </c>
      <c r="I479" t="s">
        <v>20</v>
      </c>
      <c r="J479" t="str">
        <f t="shared" si="21"/>
        <v>Adult</v>
      </c>
      <c r="K479" t="str">
        <f t="shared" si="22"/>
        <v>December</v>
      </c>
      <c r="L479">
        <f t="shared" si="23"/>
        <v>2024</v>
      </c>
    </row>
    <row r="480" spans="1:12" x14ac:dyDescent="0.25">
      <c r="A480" t="s">
        <v>510</v>
      </c>
      <c r="B480" s="1">
        <v>45628.165703275467</v>
      </c>
      <c r="C480">
        <v>45</v>
      </c>
      <c r="D480" t="s">
        <v>16</v>
      </c>
      <c r="E480" t="s">
        <v>28</v>
      </c>
      <c r="F480" t="s">
        <v>23</v>
      </c>
      <c r="G480" t="s">
        <v>13</v>
      </c>
      <c r="H480">
        <v>2786</v>
      </c>
      <c r="I480" t="s">
        <v>14</v>
      </c>
      <c r="J480" t="str">
        <f t="shared" si="21"/>
        <v>Middle Age</v>
      </c>
      <c r="K480" t="str">
        <f t="shared" si="22"/>
        <v>December</v>
      </c>
      <c r="L480">
        <f t="shared" si="23"/>
        <v>2024</v>
      </c>
    </row>
    <row r="481" spans="1:12" x14ac:dyDescent="0.25">
      <c r="A481" t="s">
        <v>511</v>
      </c>
      <c r="B481" s="1">
        <v>45628.868978796294</v>
      </c>
      <c r="C481">
        <v>25</v>
      </c>
      <c r="D481" t="s">
        <v>10</v>
      </c>
      <c r="E481" t="s">
        <v>11</v>
      </c>
      <c r="F481" t="s">
        <v>50</v>
      </c>
      <c r="G481" t="s">
        <v>13</v>
      </c>
      <c r="H481">
        <v>1616</v>
      </c>
      <c r="I481" t="s">
        <v>20</v>
      </c>
      <c r="J481" t="str">
        <f t="shared" si="21"/>
        <v>Adult</v>
      </c>
      <c r="K481" t="str">
        <f t="shared" si="22"/>
        <v>December</v>
      </c>
      <c r="L481">
        <f t="shared" si="23"/>
        <v>2024</v>
      </c>
    </row>
    <row r="482" spans="1:12" x14ac:dyDescent="0.25">
      <c r="A482" t="s">
        <v>512</v>
      </c>
      <c r="B482" s="1">
        <v>45629.572254328705</v>
      </c>
      <c r="C482">
        <v>63</v>
      </c>
      <c r="D482" t="s">
        <v>10</v>
      </c>
      <c r="E482" t="s">
        <v>36</v>
      </c>
      <c r="F482" t="s">
        <v>31</v>
      </c>
      <c r="G482" t="s">
        <v>40</v>
      </c>
      <c r="H482">
        <v>1682</v>
      </c>
      <c r="I482" t="s">
        <v>20</v>
      </c>
      <c r="J482" t="str">
        <f t="shared" si="21"/>
        <v>Senior</v>
      </c>
      <c r="K482" t="str">
        <f t="shared" si="22"/>
        <v>December</v>
      </c>
      <c r="L482">
        <f t="shared" si="23"/>
        <v>2024</v>
      </c>
    </row>
    <row r="483" spans="1:12" x14ac:dyDescent="0.25">
      <c r="A483" t="s">
        <v>513</v>
      </c>
      <c r="B483" s="1">
        <v>45630.275529861108</v>
      </c>
      <c r="C483">
        <v>80</v>
      </c>
      <c r="D483" t="s">
        <v>16</v>
      </c>
      <c r="E483" t="s">
        <v>28</v>
      </c>
      <c r="F483" t="s">
        <v>34</v>
      </c>
      <c r="G483" t="s">
        <v>26</v>
      </c>
      <c r="H483">
        <v>2374</v>
      </c>
      <c r="I483" t="s">
        <v>20</v>
      </c>
      <c r="J483" t="str">
        <f t="shared" si="21"/>
        <v>Senior</v>
      </c>
      <c r="K483" t="str">
        <f t="shared" si="22"/>
        <v>December</v>
      </c>
      <c r="L483">
        <f t="shared" si="23"/>
        <v>2024</v>
      </c>
    </row>
    <row r="484" spans="1:12" x14ac:dyDescent="0.25">
      <c r="A484" t="s">
        <v>514</v>
      </c>
      <c r="B484" s="1">
        <v>45630.978805393519</v>
      </c>
      <c r="C484">
        <v>22</v>
      </c>
      <c r="D484" t="s">
        <v>16</v>
      </c>
      <c r="E484" t="s">
        <v>36</v>
      </c>
      <c r="F484" t="s">
        <v>50</v>
      </c>
      <c r="G484" t="s">
        <v>13</v>
      </c>
      <c r="H484">
        <v>440</v>
      </c>
      <c r="I484" t="s">
        <v>20</v>
      </c>
      <c r="J484" t="str">
        <f t="shared" si="21"/>
        <v>Adult</v>
      </c>
      <c r="K484" t="str">
        <f t="shared" si="22"/>
        <v>December</v>
      </c>
      <c r="L484">
        <f t="shared" si="23"/>
        <v>2024</v>
      </c>
    </row>
    <row r="485" spans="1:12" x14ac:dyDescent="0.25">
      <c r="A485" t="s">
        <v>515</v>
      </c>
      <c r="B485" s="1">
        <v>45631.682080914354</v>
      </c>
      <c r="C485">
        <v>20</v>
      </c>
      <c r="D485" t="s">
        <v>10</v>
      </c>
      <c r="E485" t="s">
        <v>22</v>
      </c>
      <c r="F485" t="s">
        <v>25</v>
      </c>
      <c r="G485" t="s">
        <v>13</v>
      </c>
      <c r="H485">
        <v>168</v>
      </c>
      <c r="I485" t="s">
        <v>14</v>
      </c>
      <c r="J485" t="str">
        <f t="shared" si="21"/>
        <v>Adult</v>
      </c>
      <c r="K485" t="str">
        <f t="shared" si="22"/>
        <v>December</v>
      </c>
      <c r="L485">
        <f t="shared" si="23"/>
        <v>2024</v>
      </c>
    </row>
    <row r="486" spans="1:12" x14ac:dyDescent="0.25">
      <c r="A486" t="s">
        <v>516</v>
      </c>
      <c r="B486" s="1">
        <v>45632.385356446757</v>
      </c>
      <c r="C486">
        <v>78</v>
      </c>
      <c r="D486" t="s">
        <v>16</v>
      </c>
      <c r="E486" t="s">
        <v>33</v>
      </c>
      <c r="F486" t="s">
        <v>50</v>
      </c>
      <c r="G486" t="s">
        <v>40</v>
      </c>
      <c r="H486">
        <v>925</v>
      </c>
      <c r="I486" t="s">
        <v>20</v>
      </c>
      <c r="J486" t="str">
        <f t="shared" si="21"/>
        <v>Senior</v>
      </c>
      <c r="K486" t="str">
        <f t="shared" si="22"/>
        <v>December</v>
      </c>
      <c r="L486">
        <f t="shared" si="23"/>
        <v>2024</v>
      </c>
    </row>
    <row r="487" spans="1:12" x14ac:dyDescent="0.25">
      <c r="A487" t="s">
        <v>517</v>
      </c>
      <c r="B487" s="1">
        <v>45633.088631979168</v>
      </c>
      <c r="C487">
        <v>34</v>
      </c>
      <c r="D487" t="s">
        <v>10</v>
      </c>
      <c r="E487" t="s">
        <v>17</v>
      </c>
      <c r="F487" t="s">
        <v>12</v>
      </c>
      <c r="G487" t="s">
        <v>40</v>
      </c>
      <c r="H487">
        <v>85</v>
      </c>
      <c r="I487" t="s">
        <v>20</v>
      </c>
      <c r="J487" t="str">
        <f t="shared" si="21"/>
        <v>Adult</v>
      </c>
      <c r="K487" t="str">
        <f t="shared" si="22"/>
        <v>December</v>
      </c>
      <c r="L487">
        <f t="shared" si="23"/>
        <v>2024</v>
      </c>
    </row>
    <row r="488" spans="1:12" x14ac:dyDescent="0.25">
      <c r="A488" t="s">
        <v>518</v>
      </c>
      <c r="B488" s="1">
        <v>45633.791907511571</v>
      </c>
      <c r="C488">
        <v>5</v>
      </c>
      <c r="D488" t="s">
        <v>16</v>
      </c>
      <c r="E488" t="s">
        <v>52</v>
      </c>
      <c r="F488" t="s">
        <v>34</v>
      </c>
      <c r="G488" t="s">
        <v>19</v>
      </c>
      <c r="H488">
        <v>2683</v>
      </c>
      <c r="I488" t="s">
        <v>20</v>
      </c>
      <c r="J488" t="str">
        <f t="shared" si="21"/>
        <v>Child</v>
      </c>
      <c r="K488" t="str">
        <f t="shared" si="22"/>
        <v>December</v>
      </c>
      <c r="L488">
        <f t="shared" si="23"/>
        <v>2024</v>
      </c>
    </row>
    <row r="489" spans="1:12" x14ac:dyDescent="0.25">
      <c r="A489" t="s">
        <v>519</v>
      </c>
      <c r="B489" s="1">
        <v>45634.495183043982</v>
      </c>
      <c r="C489">
        <v>40</v>
      </c>
      <c r="D489" t="s">
        <v>10</v>
      </c>
      <c r="E489" t="s">
        <v>28</v>
      </c>
      <c r="F489" t="s">
        <v>31</v>
      </c>
      <c r="G489" t="s">
        <v>40</v>
      </c>
      <c r="H489">
        <v>472</v>
      </c>
      <c r="I489" t="s">
        <v>14</v>
      </c>
      <c r="J489" t="str">
        <f t="shared" si="21"/>
        <v>Adult</v>
      </c>
      <c r="K489" t="str">
        <f t="shared" si="22"/>
        <v>December</v>
      </c>
      <c r="L489">
        <f t="shared" si="23"/>
        <v>2024</v>
      </c>
    </row>
    <row r="490" spans="1:12" x14ac:dyDescent="0.25">
      <c r="A490" t="s">
        <v>520</v>
      </c>
      <c r="B490" s="1">
        <v>45635.198458564817</v>
      </c>
      <c r="C490">
        <v>68</v>
      </c>
      <c r="D490" t="s">
        <v>16</v>
      </c>
      <c r="E490" t="s">
        <v>28</v>
      </c>
      <c r="F490" t="s">
        <v>18</v>
      </c>
      <c r="G490" t="s">
        <v>19</v>
      </c>
      <c r="H490">
        <v>1529</v>
      </c>
      <c r="I490" t="s">
        <v>14</v>
      </c>
      <c r="J490" t="str">
        <f t="shared" si="21"/>
        <v>Senior</v>
      </c>
      <c r="K490" t="str">
        <f t="shared" si="22"/>
        <v>December</v>
      </c>
      <c r="L490">
        <f t="shared" si="23"/>
        <v>2024</v>
      </c>
    </row>
    <row r="491" spans="1:12" x14ac:dyDescent="0.25">
      <c r="A491" t="s">
        <v>521</v>
      </c>
      <c r="B491" s="1">
        <v>45635.90173409722</v>
      </c>
      <c r="C491">
        <v>35</v>
      </c>
      <c r="D491" t="s">
        <v>10</v>
      </c>
      <c r="E491" t="s">
        <v>30</v>
      </c>
      <c r="F491" t="s">
        <v>31</v>
      </c>
      <c r="G491" t="s">
        <v>26</v>
      </c>
      <c r="H491">
        <v>1258</v>
      </c>
      <c r="I491" t="s">
        <v>14</v>
      </c>
      <c r="J491" t="str">
        <f t="shared" si="21"/>
        <v>Adult</v>
      </c>
      <c r="K491" t="str">
        <f t="shared" si="22"/>
        <v>December</v>
      </c>
      <c r="L491">
        <f t="shared" si="23"/>
        <v>2024</v>
      </c>
    </row>
    <row r="492" spans="1:12" x14ac:dyDescent="0.25">
      <c r="A492" t="s">
        <v>522</v>
      </c>
      <c r="B492" s="1">
        <v>45636.605009629631</v>
      </c>
      <c r="C492">
        <v>35</v>
      </c>
      <c r="D492" t="s">
        <v>10</v>
      </c>
      <c r="E492" t="s">
        <v>28</v>
      </c>
      <c r="F492" t="s">
        <v>12</v>
      </c>
      <c r="G492" t="s">
        <v>19</v>
      </c>
      <c r="H492">
        <v>633</v>
      </c>
      <c r="I492" t="s">
        <v>20</v>
      </c>
      <c r="J492" t="str">
        <f t="shared" si="21"/>
        <v>Adult</v>
      </c>
      <c r="K492" t="str">
        <f t="shared" si="22"/>
        <v>December</v>
      </c>
      <c r="L492">
        <f t="shared" si="23"/>
        <v>2024</v>
      </c>
    </row>
    <row r="493" spans="1:12" x14ac:dyDescent="0.25">
      <c r="A493" t="s">
        <v>523</v>
      </c>
      <c r="B493" s="1">
        <v>45637.308285162035</v>
      </c>
      <c r="C493">
        <v>43</v>
      </c>
      <c r="D493" t="s">
        <v>16</v>
      </c>
      <c r="E493" t="s">
        <v>17</v>
      </c>
      <c r="F493" t="s">
        <v>23</v>
      </c>
      <c r="G493" t="s">
        <v>26</v>
      </c>
      <c r="H493">
        <v>533</v>
      </c>
      <c r="I493" t="s">
        <v>14</v>
      </c>
      <c r="J493" t="str">
        <f t="shared" si="21"/>
        <v>Middle Age</v>
      </c>
      <c r="K493" t="str">
        <f t="shared" si="22"/>
        <v>December</v>
      </c>
      <c r="L493">
        <f t="shared" si="23"/>
        <v>2024</v>
      </c>
    </row>
    <row r="494" spans="1:12" x14ac:dyDescent="0.25">
      <c r="A494" t="s">
        <v>524</v>
      </c>
      <c r="B494" s="1">
        <v>45638.011560682869</v>
      </c>
      <c r="C494">
        <v>79</v>
      </c>
      <c r="D494" t="s">
        <v>16</v>
      </c>
      <c r="E494" t="s">
        <v>22</v>
      </c>
      <c r="F494" t="s">
        <v>31</v>
      </c>
      <c r="G494" t="s">
        <v>26</v>
      </c>
      <c r="H494">
        <v>757</v>
      </c>
      <c r="I494" t="s">
        <v>20</v>
      </c>
      <c r="J494" t="str">
        <f t="shared" si="21"/>
        <v>Senior</v>
      </c>
      <c r="K494" t="str">
        <f t="shared" si="22"/>
        <v>December</v>
      </c>
      <c r="L494">
        <f t="shared" si="23"/>
        <v>2024</v>
      </c>
    </row>
    <row r="495" spans="1:12" x14ac:dyDescent="0.25">
      <c r="A495" t="s">
        <v>525</v>
      </c>
      <c r="B495" s="1">
        <v>45638.71483621528</v>
      </c>
      <c r="C495">
        <v>83</v>
      </c>
      <c r="D495" t="s">
        <v>10</v>
      </c>
      <c r="E495" t="s">
        <v>36</v>
      </c>
      <c r="F495" t="s">
        <v>12</v>
      </c>
      <c r="G495" t="s">
        <v>26</v>
      </c>
      <c r="H495">
        <v>2159</v>
      </c>
      <c r="I495" t="s">
        <v>20</v>
      </c>
      <c r="J495" t="str">
        <f t="shared" si="21"/>
        <v>Senior</v>
      </c>
      <c r="K495" t="str">
        <f t="shared" si="22"/>
        <v>December</v>
      </c>
      <c r="L495">
        <f t="shared" si="23"/>
        <v>2024</v>
      </c>
    </row>
    <row r="496" spans="1:12" x14ac:dyDescent="0.25">
      <c r="A496" t="s">
        <v>526</v>
      </c>
      <c r="B496" s="1">
        <v>45639.418111747684</v>
      </c>
      <c r="C496">
        <v>39</v>
      </c>
      <c r="D496" t="s">
        <v>10</v>
      </c>
      <c r="E496" t="s">
        <v>28</v>
      </c>
      <c r="F496" t="s">
        <v>31</v>
      </c>
      <c r="G496" t="s">
        <v>40</v>
      </c>
      <c r="H496">
        <v>2825</v>
      </c>
      <c r="I496" t="s">
        <v>14</v>
      </c>
      <c r="J496" t="str">
        <f t="shared" si="21"/>
        <v>Adult</v>
      </c>
      <c r="K496" t="str">
        <f t="shared" si="22"/>
        <v>December</v>
      </c>
      <c r="L496">
        <f t="shared" si="23"/>
        <v>2024</v>
      </c>
    </row>
    <row r="497" spans="1:12" x14ac:dyDescent="0.25">
      <c r="A497" t="s">
        <v>527</v>
      </c>
      <c r="B497" s="1">
        <v>45640.121387280094</v>
      </c>
      <c r="C497">
        <v>49</v>
      </c>
      <c r="D497" t="s">
        <v>16</v>
      </c>
      <c r="E497" t="s">
        <v>28</v>
      </c>
      <c r="F497" t="s">
        <v>31</v>
      </c>
      <c r="G497" t="s">
        <v>26</v>
      </c>
      <c r="H497">
        <v>609</v>
      </c>
      <c r="I497" t="s">
        <v>14</v>
      </c>
      <c r="J497" t="str">
        <f t="shared" si="21"/>
        <v>Middle Age</v>
      </c>
      <c r="K497" t="str">
        <f t="shared" si="22"/>
        <v>December</v>
      </c>
      <c r="L497">
        <f t="shared" si="23"/>
        <v>2024</v>
      </c>
    </row>
    <row r="498" spans="1:12" x14ac:dyDescent="0.25">
      <c r="A498" t="s">
        <v>528</v>
      </c>
      <c r="B498" s="1">
        <v>45640.824662812498</v>
      </c>
      <c r="C498">
        <v>82</v>
      </c>
      <c r="D498" t="s">
        <v>16</v>
      </c>
      <c r="E498" t="s">
        <v>33</v>
      </c>
      <c r="F498" t="s">
        <v>34</v>
      </c>
      <c r="G498" t="s">
        <v>40</v>
      </c>
      <c r="H498">
        <v>562</v>
      </c>
      <c r="I498" t="s">
        <v>20</v>
      </c>
      <c r="J498" t="str">
        <f t="shared" si="21"/>
        <v>Senior</v>
      </c>
      <c r="K498" t="str">
        <f t="shared" si="22"/>
        <v>December</v>
      </c>
      <c r="L498">
        <f t="shared" si="23"/>
        <v>2024</v>
      </c>
    </row>
    <row r="499" spans="1:12" x14ac:dyDescent="0.25">
      <c r="A499" t="s">
        <v>529</v>
      </c>
      <c r="B499" s="1">
        <v>45641.527938333333</v>
      </c>
      <c r="C499">
        <v>6</v>
      </c>
      <c r="D499" t="s">
        <v>16</v>
      </c>
      <c r="E499" t="s">
        <v>30</v>
      </c>
      <c r="F499" t="s">
        <v>23</v>
      </c>
      <c r="G499" t="s">
        <v>26</v>
      </c>
      <c r="H499">
        <v>1651</v>
      </c>
      <c r="I499" t="s">
        <v>20</v>
      </c>
      <c r="J499" t="str">
        <f t="shared" si="21"/>
        <v>Child</v>
      </c>
      <c r="K499" t="str">
        <f t="shared" si="22"/>
        <v>December</v>
      </c>
      <c r="L499">
        <f t="shared" si="23"/>
        <v>2024</v>
      </c>
    </row>
    <row r="500" spans="1:12" x14ac:dyDescent="0.25">
      <c r="A500" t="s">
        <v>530</v>
      </c>
      <c r="B500" s="1">
        <v>45642.231213865743</v>
      </c>
      <c r="C500">
        <v>9</v>
      </c>
      <c r="D500" t="s">
        <v>16</v>
      </c>
      <c r="E500" t="s">
        <v>30</v>
      </c>
      <c r="F500" t="s">
        <v>23</v>
      </c>
      <c r="G500" t="s">
        <v>19</v>
      </c>
      <c r="H500">
        <v>1863</v>
      </c>
      <c r="I500" t="s">
        <v>14</v>
      </c>
      <c r="J500" t="str">
        <f t="shared" si="21"/>
        <v>Child</v>
      </c>
      <c r="K500" t="str">
        <f t="shared" si="22"/>
        <v>December</v>
      </c>
      <c r="L500">
        <f t="shared" si="23"/>
        <v>2024</v>
      </c>
    </row>
    <row r="501" spans="1:12" x14ac:dyDescent="0.25">
      <c r="A501" t="s">
        <v>531</v>
      </c>
      <c r="B501" s="1">
        <v>45642.934489398147</v>
      </c>
      <c r="C501">
        <v>41</v>
      </c>
      <c r="D501" t="s">
        <v>10</v>
      </c>
      <c r="E501" t="s">
        <v>30</v>
      </c>
      <c r="F501" t="s">
        <v>50</v>
      </c>
      <c r="G501" t="s">
        <v>26</v>
      </c>
      <c r="H501">
        <v>967</v>
      </c>
      <c r="I501" t="s">
        <v>14</v>
      </c>
      <c r="J501" t="str">
        <f t="shared" si="21"/>
        <v>Middle Age</v>
      </c>
      <c r="K501" t="str">
        <f t="shared" si="22"/>
        <v>December</v>
      </c>
      <c r="L501">
        <f t="shared" si="23"/>
        <v>2024</v>
      </c>
    </row>
    <row r="502" spans="1:12" x14ac:dyDescent="0.25">
      <c r="A502" t="s">
        <v>532</v>
      </c>
      <c r="B502" s="1">
        <v>45643.637764930558</v>
      </c>
      <c r="C502">
        <v>70</v>
      </c>
      <c r="D502" t="s">
        <v>16</v>
      </c>
      <c r="E502" t="s">
        <v>33</v>
      </c>
      <c r="F502" t="s">
        <v>23</v>
      </c>
      <c r="G502" t="s">
        <v>26</v>
      </c>
      <c r="H502">
        <v>2137</v>
      </c>
      <c r="I502" t="s">
        <v>20</v>
      </c>
      <c r="J502" t="str">
        <f t="shared" si="21"/>
        <v>Senior</v>
      </c>
      <c r="K502" t="str">
        <f t="shared" si="22"/>
        <v>December</v>
      </c>
      <c r="L502">
        <f t="shared" si="23"/>
        <v>2024</v>
      </c>
    </row>
    <row r="503" spans="1:12" x14ac:dyDescent="0.25">
      <c r="A503" t="s">
        <v>533</v>
      </c>
      <c r="B503" s="1">
        <v>45644.341040451392</v>
      </c>
      <c r="C503">
        <v>6</v>
      </c>
      <c r="D503" t="s">
        <v>10</v>
      </c>
      <c r="E503" t="s">
        <v>28</v>
      </c>
      <c r="F503" t="s">
        <v>25</v>
      </c>
      <c r="G503" t="s">
        <v>26</v>
      </c>
      <c r="H503">
        <v>878</v>
      </c>
      <c r="I503" t="s">
        <v>14</v>
      </c>
      <c r="J503" t="str">
        <f t="shared" si="21"/>
        <v>Child</v>
      </c>
      <c r="K503" t="str">
        <f t="shared" si="22"/>
        <v>December</v>
      </c>
      <c r="L503">
        <f t="shared" si="23"/>
        <v>2024</v>
      </c>
    </row>
    <row r="504" spans="1:12" x14ac:dyDescent="0.25">
      <c r="A504" t="s">
        <v>534</v>
      </c>
      <c r="B504" s="1">
        <v>45645.044315983796</v>
      </c>
      <c r="C504">
        <v>8</v>
      </c>
      <c r="D504" t="s">
        <v>16</v>
      </c>
      <c r="E504" t="s">
        <v>17</v>
      </c>
      <c r="F504" t="s">
        <v>25</v>
      </c>
      <c r="G504" t="s">
        <v>19</v>
      </c>
      <c r="H504">
        <v>2996</v>
      </c>
      <c r="I504" t="s">
        <v>14</v>
      </c>
      <c r="J504" t="str">
        <f t="shared" si="21"/>
        <v>Child</v>
      </c>
      <c r="K504" t="str">
        <f t="shared" si="22"/>
        <v>December</v>
      </c>
      <c r="L504">
        <f t="shared" si="23"/>
        <v>2024</v>
      </c>
    </row>
    <row r="505" spans="1:12" x14ac:dyDescent="0.25">
      <c r="A505" t="s">
        <v>535</v>
      </c>
      <c r="B505" s="1">
        <v>45645.747591516207</v>
      </c>
      <c r="C505">
        <v>79</v>
      </c>
      <c r="D505" t="s">
        <v>16</v>
      </c>
      <c r="E505" t="s">
        <v>22</v>
      </c>
      <c r="F505" t="s">
        <v>23</v>
      </c>
      <c r="G505" t="s">
        <v>40</v>
      </c>
      <c r="H505">
        <v>2601</v>
      </c>
      <c r="I505" t="s">
        <v>20</v>
      </c>
      <c r="J505" t="str">
        <f t="shared" si="21"/>
        <v>Senior</v>
      </c>
      <c r="K505" t="str">
        <f t="shared" si="22"/>
        <v>December</v>
      </c>
      <c r="L505">
        <f t="shared" si="23"/>
        <v>2024</v>
      </c>
    </row>
    <row r="506" spans="1:12" x14ac:dyDescent="0.25">
      <c r="A506" t="s">
        <v>536</v>
      </c>
      <c r="B506" s="1">
        <v>45646.45086704861</v>
      </c>
      <c r="C506">
        <v>38</v>
      </c>
      <c r="D506" t="s">
        <v>16</v>
      </c>
      <c r="E506" t="s">
        <v>11</v>
      </c>
      <c r="F506" t="s">
        <v>34</v>
      </c>
      <c r="G506" t="s">
        <v>13</v>
      </c>
      <c r="H506">
        <v>218</v>
      </c>
      <c r="I506" t="s">
        <v>20</v>
      </c>
      <c r="J506" t="str">
        <f t="shared" si="21"/>
        <v>Adult</v>
      </c>
      <c r="K506" t="str">
        <f t="shared" si="22"/>
        <v>December</v>
      </c>
      <c r="L506">
        <f t="shared" si="23"/>
        <v>2024</v>
      </c>
    </row>
    <row r="507" spans="1:12" x14ac:dyDescent="0.25">
      <c r="A507" t="s">
        <v>537</v>
      </c>
      <c r="B507" s="1">
        <v>45647.154142581021</v>
      </c>
      <c r="C507">
        <v>79</v>
      </c>
      <c r="D507" t="s">
        <v>16</v>
      </c>
      <c r="E507" t="s">
        <v>30</v>
      </c>
      <c r="F507" t="s">
        <v>50</v>
      </c>
      <c r="G507" t="s">
        <v>40</v>
      </c>
      <c r="H507">
        <v>940</v>
      </c>
      <c r="I507" t="s">
        <v>14</v>
      </c>
      <c r="J507" t="str">
        <f t="shared" si="21"/>
        <v>Senior</v>
      </c>
      <c r="K507" t="str">
        <f t="shared" si="22"/>
        <v>December</v>
      </c>
      <c r="L507">
        <f t="shared" si="23"/>
        <v>2024</v>
      </c>
    </row>
    <row r="508" spans="1:12" x14ac:dyDescent="0.25">
      <c r="A508" t="s">
        <v>538</v>
      </c>
      <c r="B508" s="1">
        <v>45647.857418101848</v>
      </c>
      <c r="C508">
        <v>34</v>
      </c>
      <c r="D508" t="s">
        <v>10</v>
      </c>
      <c r="E508" t="s">
        <v>36</v>
      </c>
      <c r="F508" t="s">
        <v>12</v>
      </c>
      <c r="G508" t="s">
        <v>40</v>
      </c>
      <c r="H508">
        <v>2175</v>
      </c>
      <c r="I508" t="s">
        <v>14</v>
      </c>
      <c r="J508" t="str">
        <f t="shared" si="21"/>
        <v>Adult</v>
      </c>
      <c r="K508" t="str">
        <f t="shared" si="22"/>
        <v>December</v>
      </c>
      <c r="L508">
        <f t="shared" si="23"/>
        <v>2024</v>
      </c>
    </row>
    <row r="509" spans="1:12" x14ac:dyDescent="0.25">
      <c r="A509" t="s">
        <v>539</v>
      </c>
      <c r="B509" s="1">
        <v>45648.560693634259</v>
      </c>
      <c r="C509">
        <v>28</v>
      </c>
      <c r="D509" t="s">
        <v>16</v>
      </c>
      <c r="E509" t="s">
        <v>22</v>
      </c>
      <c r="F509" t="s">
        <v>18</v>
      </c>
      <c r="G509" t="s">
        <v>19</v>
      </c>
      <c r="H509">
        <v>1373</v>
      </c>
      <c r="I509" t="s">
        <v>14</v>
      </c>
      <c r="J509" t="str">
        <f t="shared" si="21"/>
        <v>Adult</v>
      </c>
      <c r="K509" t="str">
        <f t="shared" si="22"/>
        <v>December</v>
      </c>
      <c r="L509">
        <f t="shared" si="23"/>
        <v>2024</v>
      </c>
    </row>
    <row r="510" spans="1:12" x14ac:dyDescent="0.25">
      <c r="A510" t="s">
        <v>540</v>
      </c>
      <c r="B510" s="1">
        <v>45649.26396916667</v>
      </c>
      <c r="C510">
        <v>52</v>
      </c>
      <c r="D510" t="s">
        <v>10</v>
      </c>
      <c r="E510" t="s">
        <v>22</v>
      </c>
      <c r="F510" t="s">
        <v>50</v>
      </c>
      <c r="G510" t="s">
        <v>40</v>
      </c>
      <c r="H510">
        <v>2693</v>
      </c>
      <c r="I510" t="s">
        <v>20</v>
      </c>
      <c r="J510" t="str">
        <f t="shared" si="21"/>
        <v>Middle Age</v>
      </c>
      <c r="K510" t="str">
        <f t="shared" si="22"/>
        <v>December</v>
      </c>
      <c r="L510">
        <f t="shared" si="23"/>
        <v>2024</v>
      </c>
    </row>
    <row r="511" spans="1:12" x14ac:dyDescent="0.25">
      <c r="A511" t="s">
        <v>541</v>
      </c>
      <c r="B511" s="1">
        <v>45649.967244699073</v>
      </c>
      <c r="C511">
        <v>78</v>
      </c>
      <c r="D511" t="s">
        <v>10</v>
      </c>
      <c r="E511" t="s">
        <v>36</v>
      </c>
      <c r="F511" t="s">
        <v>18</v>
      </c>
      <c r="G511" t="s">
        <v>19</v>
      </c>
      <c r="H511">
        <v>2925</v>
      </c>
      <c r="I511" t="s">
        <v>20</v>
      </c>
      <c r="J511" t="str">
        <f t="shared" si="21"/>
        <v>Senior</v>
      </c>
      <c r="K511" t="str">
        <f t="shared" si="22"/>
        <v>December</v>
      </c>
      <c r="L511">
        <f t="shared" si="23"/>
        <v>2024</v>
      </c>
    </row>
    <row r="512" spans="1:12" x14ac:dyDescent="0.25">
      <c r="A512" t="s">
        <v>542</v>
      </c>
      <c r="B512" s="1">
        <v>45650.670520219908</v>
      </c>
      <c r="C512">
        <v>31</v>
      </c>
      <c r="D512" t="s">
        <v>16</v>
      </c>
      <c r="E512" t="s">
        <v>22</v>
      </c>
      <c r="F512" t="s">
        <v>25</v>
      </c>
      <c r="G512" t="s">
        <v>19</v>
      </c>
      <c r="H512">
        <v>2164</v>
      </c>
      <c r="I512" t="s">
        <v>20</v>
      </c>
      <c r="J512" t="str">
        <f t="shared" si="21"/>
        <v>Adult</v>
      </c>
      <c r="K512" t="str">
        <f t="shared" si="22"/>
        <v>December</v>
      </c>
      <c r="L512">
        <f t="shared" si="23"/>
        <v>2024</v>
      </c>
    </row>
    <row r="513" spans="1:12" x14ac:dyDescent="0.25">
      <c r="A513" t="s">
        <v>543</v>
      </c>
      <c r="B513" s="1">
        <v>45651.373795752312</v>
      </c>
      <c r="C513">
        <v>44</v>
      </c>
      <c r="D513" t="s">
        <v>16</v>
      </c>
      <c r="E513" t="s">
        <v>33</v>
      </c>
      <c r="F513" t="s">
        <v>34</v>
      </c>
      <c r="G513" t="s">
        <v>13</v>
      </c>
      <c r="H513">
        <v>640</v>
      </c>
      <c r="I513" t="s">
        <v>20</v>
      </c>
      <c r="J513" t="str">
        <f t="shared" si="21"/>
        <v>Middle Age</v>
      </c>
      <c r="K513" t="str">
        <f t="shared" si="22"/>
        <v>December</v>
      </c>
      <c r="L513">
        <f t="shared" si="23"/>
        <v>2024</v>
      </c>
    </row>
    <row r="514" spans="1:12" x14ac:dyDescent="0.25">
      <c r="A514" t="s">
        <v>544</v>
      </c>
      <c r="B514" s="1">
        <v>45652.077071284722</v>
      </c>
      <c r="C514">
        <v>47</v>
      </c>
      <c r="D514" t="s">
        <v>16</v>
      </c>
      <c r="E514" t="s">
        <v>52</v>
      </c>
      <c r="F514" t="s">
        <v>25</v>
      </c>
      <c r="G514" t="s">
        <v>19</v>
      </c>
      <c r="H514">
        <v>1543</v>
      </c>
      <c r="I514" t="s">
        <v>20</v>
      </c>
      <c r="J514" t="str">
        <f t="shared" si="21"/>
        <v>Middle Age</v>
      </c>
      <c r="K514" t="str">
        <f t="shared" si="22"/>
        <v>December</v>
      </c>
      <c r="L514">
        <f t="shared" si="23"/>
        <v>2024</v>
      </c>
    </row>
    <row r="515" spans="1:12" x14ac:dyDescent="0.25">
      <c r="A515" t="s">
        <v>545</v>
      </c>
      <c r="B515" s="1">
        <v>45652.780346817133</v>
      </c>
      <c r="C515">
        <v>10</v>
      </c>
      <c r="D515" t="s">
        <v>10</v>
      </c>
      <c r="E515" t="s">
        <v>28</v>
      </c>
      <c r="F515" t="s">
        <v>23</v>
      </c>
      <c r="G515" t="s">
        <v>13</v>
      </c>
      <c r="H515">
        <v>2347</v>
      </c>
      <c r="I515" t="s">
        <v>14</v>
      </c>
      <c r="J515" t="str">
        <f t="shared" ref="J515:J521" si="24">IF(C515&lt;18,"Child",IF(C515&lt;=40,"Adult",IF(C515&lt;=60,"Middle Age","Senior")))</f>
        <v>Child</v>
      </c>
      <c r="K515" t="str">
        <f t="shared" ref="K515:K521" si="25">TEXT(B515,"mmmm")</f>
        <v>December</v>
      </c>
      <c r="L515">
        <f t="shared" ref="L515:L521" si="26">YEAR(B515)</f>
        <v>2024</v>
      </c>
    </row>
    <row r="516" spans="1:12" x14ac:dyDescent="0.25">
      <c r="A516" t="s">
        <v>546</v>
      </c>
      <c r="B516" s="1">
        <v>45653.483622349537</v>
      </c>
      <c r="C516">
        <v>68</v>
      </c>
      <c r="D516" t="s">
        <v>16</v>
      </c>
      <c r="E516" t="s">
        <v>36</v>
      </c>
      <c r="F516" t="s">
        <v>18</v>
      </c>
      <c r="G516" t="s">
        <v>26</v>
      </c>
      <c r="H516">
        <v>1052</v>
      </c>
      <c r="I516" t="s">
        <v>20</v>
      </c>
      <c r="J516" t="str">
        <f t="shared" si="24"/>
        <v>Senior</v>
      </c>
      <c r="K516" t="str">
        <f t="shared" si="25"/>
        <v>December</v>
      </c>
      <c r="L516">
        <f t="shared" si="26"/>
        <v>2024</v>
      </c>
    </row>
    <row r="517" spans="1:12" x14ac:dyDescent="0.25">
      <c r="A517" t="s">
        <v>547</v>
      </c>
      <c r="B517" s="1">
        <v>45654.186897870371</v>
      </c>
      <c r="C517">
        <v>4</v>
      </c>
      <c r="D517" t="s">
        <v>10</v>
      </c>
      <c r="E517" t="s">
        <v>33</v>
      </c>
      <c r="F517" t="s">
        <v>23</v>
      </c>
      <c r="G517" t="s">
        <v>19</v>
      </c>
      <c r="H517">
        <v>1199</v>
      </c>
      <c r="I517" t="s">
        <v>14</v>
      </c>
      <c r="J517" t="str">
        <f t="shared" si="24"/>
        <v>Child</v>
      </c>
      <c r="K517" t="str">
        <f t="shared" si="25"/>
        <v>December</v>
      </c>
      <c r="L517">
        <f t="shared" si="26"/>
        <v>2024</v>
      </c>
    </row>
    <row r="518" spans="1:12" x14ac:dyDescent="0.25">
      <c r="A518" t="s">
        <v>548</v>
      </c>
      <c r="B518" s="1">
        <v>45654.890173402775</v>
      </c>
      <c r="C518">
        <v>68</v>
      </c>
      <c r="D518" t="s">
        <v>16</v>
      </c>
      <c r="E518" t="s">
        <v>17</v>
      </c>
      <c r="F518" t="s">
        <v>12</v>
      </c>
      <c r="G518" t="s">
        <v>13</v>
      </c>
      <c r="H518">
        <v>1727</v>
      </c>
      <c r="I518" t="s">
        <v>20</v>
      </c>
      <c r="J518" t="str">
        <f t="shared" si="24"/>
        <v>Senior</v>
      </c>
      <c r="K518" t="str">
        <f t="shared" si="25"/>
        <v>December</v>
      </c>
      <c r="L518">
        <f t="shared" si="26"/>
        <v>2024</v>
      </c>
    </row>
    <row r="519" spans="1:12" x14ac:dyDescent="0.25">
      <c r="A519" t="s">
        <v>549</v>
      </c>
      <c r="B519" s="1">
        <v>45655.593448935186</v>
      </c>
      <c r="C519">
        <v>55</v>
      </c>
      <c r="D519" t="s">
        <v>10</v>
      </c>
      <c r="E519" t="s">
        <v>33</v>
      </c>
      <c r="F519" t="s">
        <v>50</v>
      </c>
      <c r="G519" t="s">
        <v>19</v>
      </c>
      <c r="H519">
        <v>1695</v>
      </c>
      <c r="I519" t="s">
        <v>14</v>
      </c>
      <c r="J519" t="str">
        <f t="shared" si="24"/>
        <v>Middle Age</v>
      </c>
      <c r="K519" t="str">
        <f t="shared" si="25"/>
        <v>December</v>
      </c>
      <c r="L519">
        <f t="shared" si="26"/>
        <v>2024</v>
      </c>
    </row>
    <row r="520" spans="1:12" x14ac:dyDescent="0.25">
      <c r="A520" t="s">
        <v>550</v>
      </c>
      <c r="B520" s="1">
        <v>45656.296724467589</v>
      </c>
      <c r="C520">
        <v>64</v>
      </c>
      <c r="D520" t="s">
        <v>10</v>
      </c>
      <c r="E520" t="s">
        <v>28</v>
      </c>
      <c r="F520" t="s">
        <v>34</v>
      </c>
      <c r="G520" t="s">
        <v>40</v>
      </c>
      <c r="H520">
        <v>1888</v>
      </c>
      <c r="I520" t="s">
        <v>14</v>
      </c>
      <c r="J520" t="str">
        <f t="shared" si="24"/>
        <v>Senior</v>
      </c>
      <c r="K520" t="str">
        <f t="shared" si="25"/>
        <v>December</v>
      </c>
      <c r="L520">
        <f t="shared" si="26"/>
        <v>2024</v>
      </c>
    </row>
    <row r="521" spans="1:12" x14ac:dyDescent="0.25">
      <c r="A521" t="s">
        <v>551</v>
      </c>
      <c r="B521" s="1">
        <v>45657</v>
      </c>
      <c r="C521">
        <v>81</v>
      </c>
      <c r="D521" t="s">
        <v>10</v>
      </c>
      <c r="E521" t="s">
        <v>30</v>
      </c>
      <c r="F521" t="s">
        <v>34</v>
      </c>
      <c r="G521" t="s">
        <v>13</v>
      </c>
      <c r="H521">
        <v>1240</v>
      </c>
      <c r="I521" t="s">
        <v>20</v>
      </c>
      <c r="J521" t="str">
        <f t="shared" si="24"/>
        <v>Senior</v>
      </c>
      <c r="K521" t="str">
        <f t="shared" si="25"/>
        <v>December</v>
      </c>
      <c r="L521">
        <f t="shared" si="26"/>
        <v>2024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4CA2E-122B-4572-94C9-30F4A0F4A303}">
  <dimension ref="A3:B11"/>
  <sheetViews>
    <sheetView workbookViewId="0">
      <selection activeCell="B5" sqref="B5"/>
    </sheetView>
  </sheetViews>
  <sheetFormatPr defaultRowHeight="15" x14ac:dyDescent="0.25"/>
  <cols>
    <col min="1" max="1" width="13.28515625" bestFit="1" customWidth="1"/>
    <col min="2" max="2" width="18.5703125" bestFit="1" customWidth="1"/>
  </cols>
  <sheetData>
    <row r="3" spans="1:2" x14ac:dyDescent="0.25">
      <c r="A3" s="2" t="s">
        <v>4</v>
      </c>
      <c r="B3" t="s">
        <v>556</v>
      </c>
    </row>
    <row r="4" spans="1:2" x14ac:dyDescent="0.25">
      <c r="A4" s="3" t="s">
        <v>28</v>
      </c>
      <c r="B4" s="4">
        <v>34</v>
      </c>
    </row>
    <row r="5" spans="1:2" x14ac:dyDescent="0.25">
      <c r="A5" s="3" t="s">
        <v>11</v>
      </c>
      <c r="B5" s="4">
        <v>22</v>
      </c>
    </row>
    <row r="6" spans="1:2" x14ac:dyDescent="0.25">
      <c r="A6" s="3" t="s">
        <v>30</v>
      </c>
      <c r="B6" s="4">
        <v>23</v>
      </c>
    </row>
    <row r="7" spans="1:2" x14ac:dyDescent="0.25">
      <c r="A7" s="3" t="s">
        <v>52</v>
      </c>
      <c r="B7" s="4">
        <v>30</v>
      </c>
    </row>
    <row r="8" spans="1:2" x14ac:dyDescent="0.25">
      <c r="A8" s="3" t="s">
        <v>17</v>
      </c>
      <c r="B8" s="4">
        <v>28</v>
      </c>
    </row>
    <row r="9" spans="1:2" x14ac:dyDescent="0.25">
      <c r="A9" s="3" t="s">
        <v>22</v>
      </c>
      <c r="B9" s="4">
        <v>26</v>
      </c>
    </row>
    <row r="10" spans="1:2" x14ac:dyDescent="0.25">
      <c r="A10" s="3" t="s">
        <v>36</v>
      </c>
      <c r="B10" s="4">
        <v>19</v>
      </c>
    </row>
    <row r="11" spans="1:2" x14ac:dyDescent="0.25">
      <c r="A11" s="3" t="s">
        <v>555</v>
      </c>
      <c r="B11" s="4">
        <v>182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32299-9351-4807-A620-CAF3CAFB8B19}">
  <dimension ref="A3:B8"/>
  <sheetViews>
    <sheetView workbookViewId="0">
      <selection activeCell="B4" sqref="B4"/>
    </sheetView>
  </sheetViews>
  <sheetFormatPr defaultRowHeight="15" x14ac:dyDescent="0.25"/>
  <cols>
    <col min="1" max="1" width="16.42578125" bestFit="1" customWidth="1"/>
    <col min="2" max="2" width="25.7109375" bestFit="1" customWidth="1"/>
  </cols>
  <sheetData>
    <row r="3" spans="1:2" x14ac:dyDescent="0.25">
      <c r="A3" s="2" t="s">
        <v>6</v>
      </c>
      <c r="B3" t="s">
        <v>557</v>
      </c>
    </row>
    <row r="4" spans="1:2" x14ac:dyDescent="0.25">
      <c r="A4" s="3" t="s">
        <v>26</v>
      </c>
      <c r="B4" s="5">
        <v>1616.6875</v>
      </c>
    </row>
    <row r="5" spans="1:2" x14ac:dyDescent="0.25">
      <c r="A5" s="3" t="s">
        <v>19</v>
      </c>
      <c r="B5" s="5">
        <v>1403.6538461538462</v>
      </c>
    </row>
    <row r="6" spans="1:2" x14ac:dyDescent="0.25">
      <c r="A6" s="3" t="s">
        <v>40</v>
      </c>
      <c r="B6" s="5">
        <v>1526.4324324324325</v>
      </c>
    </row>
    <row r="7" spans="1:2" x14ac:dyDescent="0.25">
      <c r="A7" s="3" t="s">
        <v>13</v>
      </c>
      <c r="B7" s="5">
        <v>1629.0666666666666</v>
      </c>
    </row>
    <row r="8" spans="1:2" x14ac:dyDescent="0.25">
      <c r="A8" s="3" t="s">
        <v>555</v>
      </c>
      <c r="B8" s="5">
        <v>1540.532967032967</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EE3CA-560A-4E30-A505-F20D60F8A3CE}">
  <dimension ref="A3:B9"/>
  <sheetViews>
    <sheetView workbookViewId="0">
      <selection activeCell="B9" sqref="B9"/>
    </sheetView>
  </sheetViews>
  <sheetFormatPr defaultRowHeight="15" x14ac:dyDescent="0.25"/>
  <cols>
    <col min="1" max="1" width="11.28515625" bestFit="1" customWidth="1"/>
    <col min="2" max="2" width="18.5703125" bestFit="1" customWidth="1"/>
  </cols>
  <sheetData>
    <row r="3" spans="1:2" x14ac:dyDescent="0.25">
      <c r="A3" s="2" t="s">
        <v>563</v>
      </c>
      <c r="B3" t="s">
        <v>556</v>
      </c>
    </row>
    <row r="4" spans="1:2" x14ac:dyDescent="0.25">
      <c r="A4" s="3" t="s">
        <v>558</v>
      </c>
      <c r="B4" s="4">
        <v>38</v>
      </c>
    </row>
    <row r="5" spans="1:2" x14ac:dyDescent="0.25">
      <c r="A5" s="3" t="s">
        <v>559</v>
      </c>
      <c r="B5" s="4">
        <v>32</v>
      </c>
    </row>
    <row r="6" spans="1:2" x14ac:dyDescent="0.25">
      <c r="A6" s="3" t="s">
        <v>560</v>
      </c>
      <c r="B6" s="4">
        <v>34</v>
      </c>
    </row>
    <row r="7" spans="1:2" x14ac:dyDescent="0.25">
      <c r="A7" s="3" t="s">
        <v>561</v>
      </c>
      <c r="B7" s="4">
        <v>40</v>
      </c>
    </row>
    <row r="8" spans="1:2" x14ac:dyDescent="0.25">
      <c r="A8" s="3" t="s">
        <v>562</v>
      </c>
      <c r="B8" s="4">
        <v>38</v>
      </c>
    </row>
    <row r="9" spans="1:2" x14ac:dyDescent="0.25">
      <c r="A9" s="3" t="s">
        <v>555</v>
      </c>
      <c r="B9" s="4">
        <v>182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16F72-FF09-48EF-9434-B46F223F54AB}">
  <dimension ref="A3:B6"/>
  <sheetViews>
    <sheetView workbookViewId="0">
      <selection activeCell="E10" sqref="E10"/>
    </sheetView>
  </sheetViews>
  <sheetFormatPr defaultRowHeight="15" x14ac:dyDescent="0.25"/>
  <cols>
    <col min="1" max="1" width="11.85546875" bestFit="1" customWidth="1"/>
    <col min="2" max="2" width="25.7109375" bestFit="1" customWidth="1"/>
  </cols>
  <sheetData>
    <row r="3" spans="1:2" x14ac:dyDescent="0.25">
      <c r="A3" s="2" t="s">
        <v>8</v>
      </c>
      <c r="B3" t="s">
        <v>557</v>
      </c>
    </row>
    <row r="4" spans="1:2" x14ac:dyDescent="0.25">
      <c r="A4" s="3" t="s">
        <v>14</v>
      </c>
      <c r="B4" s="4">
        <v>1541.0947368421052</v>
      </c>
    </row>
    <row r="5" spans="1:2" x14ac:dyDescent="0.25">
      <c r="A5" s="3" t="s">
        <v>20</v>
      </c>
      <c r="B5" s="4">
        <v>1539.9195402298851</v>
      </c>
    </row>
    <row r="6" spans="1:2" x14ac:dyDescent="0.25">
      <c r="A6" s="3" t="s">
        <v>555</v>
      </c>
      <c r="B6" s="4">
        <v>1540.532967032967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F2E4472-89B5-44AF-B26B-D2885A6437D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Healthcare_Analysis</vt:lpstr>
      <vt:lpstr>Sheet2</vt:lpstr>
      <vt:lpstr>Sheet3</vt:lpstr>
      <vt:lpstr>Sheet3 (2)</vt:lpstr>
      <vt:lpstr>Sheet3 (3)</vt:lpstr>
      <vt:lpstr>Sheet3 (4)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farman khatak</dc:creator>
  <cp:lastModifiedBy>farman khatak</cp:lastModifiedBy>
  <dcterms:created xsi:type="dcterms:W3CDTF">2026-01-03T14:28:06Z</dcterms:created>
  <dcterms:modified xsi:type="dcterms:W3CDTF">2026-01-03T15:40:50Z</dcterms:modified>
</cp:coreProperties>
</file>